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 Voigtländer\Documents\Teaching\405 Winter 2016\Slides\"/>
    </mc:Choice>
  </mc:AlternateContent>
  <bookViews>
    <workbookView xWindow="0" yWindow="0" windowWidth="18000" windowHeight="20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F16" i="1"/>
  <c r="C16" i="1"/>
  <c r="D16" i="1" s="1"/>
  <c r="E16" i="1" s="1"/>
  <c r="D7" i="1"/>
  <c r="D8" i="1"/>
  <c r="D9" i="1"/>
  <c r="D10" i="1"/>
  <c r="D11" i="1"/>
  <c r="D12" i="1"/>
  <c r="D13" i="1"/>
  <c r="D14" i="1"/>
  <c r="D15" i="1"/>
  <c r="D6" i="1"/>
  <c r="J7" i="1"/>
  <c r="J8" i="1"/>
  <c r="J9" i="1"/>
  <c r="J10" i="1"/>
  <c r="J11" i="1"/>
  <c r="J12" i="1"/>
  <c r="J13" i="1"/>
  <c r="J14" i="1"/>
  <c r="J15" i="1"/>
  <c r="J6" i="1"/>
  <c r="F6" i="1"/>
  <c r="I7" i="1"/>
  <c r="I8" i="1"/>
  <c r="I9" i="1"/>
  <c r="I10" i="1"/>
  <c r="I11" i="1"/>
  <c r="I12" i="1"/>
  <c r="I13" i="1"/>
  <c r="I14" i="1"/>
  <c r="I15" i="1"/>
  <c r="I6" i="1"/>
  <c r="C7" i="1"/>
  <c r="C8" i="1" s="1"/>
  <c r="C9" i="1" l="1"/>
  <c r="E8" i="1"/>
  <c r="E7" i="1"/>
  <c r="K8" i="1"/>
  <c r="K7" i="1"/>
  <c r="F8" i="1"/>
  <c r="F7" i="1"/>
  <c r="K6" i="1"/>
  <c r="G6" i="1"/>
  <c r="E6" i="1"/>
  <c r="G7" i="1" l="1"/>
  <c r="C10" i="1"/>
  <c r="F9" i="1" l="1"/>
  <c r="E9" i="1"/>
  <c r="K9" i="1"/>
  <c r="G8" i="1"/>
  <c r="C11" i="1"/>
  <c r="G9" i="1" l="1"/>
  <c r="F10" i="1"/>
  <c r="K10" i="1"/>
  <c r="E10" i="1"/>
  <c r="C12" i="1"/>
  <c r="C13" i="1" l="1"/>
  <c r="F11" i="1"/>
  <c r="K11" i="1"/>
  <c r="E11" i="1"/>
  <c r="G10" i="1"/>
  <c r="C14" i="1" l="1"/>
  <c r="K12" i="1"/>
  <c r="E12" i="1"/>
  <c r="F12" i="1"/>
  <c r="G11" i="1"/>
  <c r="C15" i="1" l="1"/>
  <c r="G12" i="1"/>
  <c r="F13" i="1"/>
  <c r="K13" i="1"/>
  <c r="E13" i="1"/>
  <c r="K15" i="1" l="1"/>
  <c r="E15" i="1"/>
  <c r="G14" i="1"/>
  <c r="F15" i="1"/>
  <c r="K14" i="1"/>
  <c r="E14" i="1"/>
  <c r="F14" i="1"/>
  <c r="G13" i="1"/>
</calcChain>
</file>

<file path=xl/sharedStrings.xml><?xml version="1.0" encoding="utf-8"?>
<sst xmlns="http://schemas.openxmlformats.org/spreadsheetml/2006/main" count="9" uniqueCount="7">
  <si>
    <t>TFC</t>
  </si>
  <si>
    <t>Q</t>
  </si>
  <si>
    <t>TC</t>
  </si>
  <si>
    <t>AVC</t>
  </si>
  <si>
    <t>MC</t>
  </si>
  <si>
    <t>randnr</t>
  </si>
  <si>
    <t>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</si>
</sst>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1" applyNumberFormat="1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3" fillId="0" borderId="0" xfId="0" applyFont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Data (monthly)</a:t>
            </a:r>
          </a:p>
        </c:rich>
      </c:tx>
      <c:layout>
        <c:manualLayout>
          <c:xMode val="edge"/>
          <c:yMode val="edge"/>
          <c:x val="0.34258109040717732"/>
          <c:y val="4.1522491349480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6461007591442375"/>
                  <c:y val="-1.3006384582550018E-2"/>
                </c:manualLayout>
              </c:layout>
              <c:numFmt formatCode="#,##0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Sheet1!$K$6:$K$15</c:f>
              <c:numCache>
                <c:formatCode>_(* #,##0_);_(* \(#,##0\);_(* "-"??_);_(@_)</c:formatCode>
                <c:ptCount val="10"/>
                <c:pt idx="0">
                  <c:v>720928.30935761018</c:v>
                </c:pt>
                <c:pt idx="1">
                  <c:v>1091154.0031519879</c:v>
                </c:pt>
                <c:pt idx="2">
                  <c:v>795134.84750796843</c:v>
                </c:pt>
                <c:pt idx="3">
                  <c:v>1170590.7766063537</c:v>
                </c:pt>
                <c:pt idx="4">
                  <c:v>1001993.9410245277</c:v>
                </c:pt>
                <c:pt idx="5">
                  <c:v>1748884.0517795437</c:v>
                </c:pt>
                <c:pt idx="6">
                  <c:v>1880030.7352291006</c:v>
                </c:pt>
                <c:pt idx="7">
                  <c:v>1749380.3773101035</c:v>
                </c:pt>
                <c:pt idx="8">
                  <c:v>2290522.7443519104</c:v>
                </c:pt>
                <c:pt idx="9">
                  <c:v>2874689.1681482471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647224"/>
        <c:axId val="447648792"/>
      </c:scatterChart>
      <c:valAx>
        <c:axId val="447647224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Q (batteries per month)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648792"/>
        <c:crosses val="autoZero"/>
        <c:crossBetween val="midCat"/>
      </c:valAx>
      <c:valAx>
        <c:axId val="44764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Total</a:t>
                </a:r>
                <a:r>
                  <a:rPr lang="en-US" sz="1050" baseline="0"/>
                  <a:t> Cost</a:t>
                </a:r>
                <a:endParaRPr lang="en-US" sz="105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647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Sheet1!$B$6:$B$15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Sheet1!$E$6:$E$15</c:f>
              <c:numCache>
                <c:formatCode>_(* #,##0_);_(* \(#,##0\);_(* "-"??_);_(@_)</c:formatCode>
                <c:ptCount val="10"/>
                <c:pt idx="0">
                  <c:v>82000</c:v>
                </c:pt>
                <c:pt idx="1">
                  <c:v>44000</c:v>
                </c:pt>
                <c:pt idx="2">
                  <c:v>32666.666666666668</c:v>
                </c:pt>
                <c:pt idx="3">
                  <c:v>28000</c:v>
                </c:pt>
                <c:pt idx="4">
                  <c:v>26000</c:v>
                </c:pt>
                <c:pt idx="5">
                  <c:v>25333.333333333332</c:v>
                </c:pt>
                <c:pt idx="6">
                  <c:v>25428.571428571428</c:v>
                </c:pt>
                <c:pt idx="7">
                  <c:v>26000</c:v>
                </c:pt>
                <c:pt idx="8">
                  <c:v>26888.888888888891</c:v>
                </c:pt>
                <c:pt idx="9">
                  <c:v>28000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Sheet1!$B$6:$B$15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Sheet1!$F$6:$F$15</c:f>
              <c:numCache>
                <c:formatCode>_(* #,##0_);_(* \(#,##0\);_(* "-"??_);_(@_)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Sheet1!$B$6:$B$15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Sheet1!$G$6:$G$15</c:f>
              <c:numCache>
                <c:formatCode>_(* #,##0_);_(* \(#,##0\);_(* "-"??_);_(@_)</c:formatCode>
                <c:ptCount val="10"/>
                <c:pt idx="0">
                  <c:v>6000</c:v>
                </c:pt>
                <c:pt idx="1">
                  <c:v>10000</c:v>
                </c:pt>
                <c:pt idx="2">
                  <c:v>14000</c:v>
                </c:pt>
                <c:pt idx="3">
                  <c:v>18000</c:v>
                </c:pt>
                <c:pt idx="4">
                  <c:v>22000</c:v>
                </c:pt>
                <c:pt idx="5">
                  <c:v>26000</c:v>
                </c:pt>
                <c:pt idx="6">
                  <c:v>30000</c:v>
                </c:pt>
                <c:pt idx="7">
                  <c:v>34000</c:v>
                </c:pt>
                <c:pt idx="8">
                  <c:v>38000</c:v>
                </c:pt>
                <c:pt idx="9">
                  <c:v>42000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00560"/>
        <c:axId val="454798992"/>
      </c:scatterChart>
      <c:valAx>
        <c:axId val="454800560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Q (batteries per month)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69621146029312719"/>
              <c:y val="0.90238683127572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98992"/>
        <c:crosses val="autoZero"/>
        <c:crossBetween val="midCat"/>
      </c:valAx>
      <c:valAx>
        <c:axId val="454798992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</a:t>
                </a:r>
                <a:r>
                  <a:rPr lang="en-US" sz="1200" baseline="0"/>
                  <a:t> Cost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0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4</xdr:row>
      <xdr:rowOff>152400</xdr:rowOff>
    </xdr:from>
    <xdr:to>
      <xdr:col>19</xdr:col>
      <xdr:colOff>219075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18</xdr:row>
      <xdr:rowOff>38099</xdr:rowOff>
    </xdr:from>
    <xdr:to>
      <xdr:col>11</xdr:col>
      <xdr:colOff>133350</xdr:colOff>
      <xdr:row>38</xdr:row>
      <xdr:rowOff>85724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</xdr:colOff>
      <xdr:row>19</xdr:row>
      <xdr:rowOff>123826</xdr:rowOff>
    </xdr:from>
    <xdr:to>
      <xdr:col>6</xdr:col>
      <xdr:colOff>190500</xdr:colOff>
      <xdr:row>21</xdr:row>
      <xdr:rowOff>76200</xdr:rowOff>
    </xdr:to>
    <xdr:sp macro="" textlink="">
      <xdr:nvSpPr>
        <xdr:cNvPr id="4" name="TextBox 3"/>
        <xdr:cNvSpPr txBox="1"/>
      </xdr:nvSpPr>
      <xdr:spPr>
        <a:xfrm>
          <a:off x="3209925" y="3752851"/>
          <a:ext cx="676275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>
                  <a:lumMod val="75000"/>
                </a:schemeClr>
              </a:solidFill>
            </a:rPr>
            <a:t>ATC</a:t>
          </a:r>
        </a:p>
      </xdr:txBody>
    </xdr:sp>
    <xdr:clientData/>
  </xdr:twoCellAnchor>
  <xdr:twoCellAnchor>
    <xdr:from>
      <xdr:col>10</xdr:col>
      <xdr:colOff>142875</xdr:colOff>
      <xdr:row>25</xdr:row>
      <xdr:rowOff>161925</xdr:rowOff>
    </xdr:from>
    <xdr:to>
      <xdr:col>11</xdr:col>
      <xdr:colOff>114300</xdr:colOff>
      <xdr:row>27</xdr:row>
      <xdr:rowOff>114299</xdr:rowOff>
    </xdr:to>
    <xdr:sp macro="" textlink="">
      <xdr:nvSpPr>
        <xdr:cNvPr id="5" name="TextBox 4"/>
        <xdr:cNvSpPr txBox="1"/>
      </xdr:nvSpPr>
      <xdr:spPr>
        <a:xfrm>
          <a:off x="6305550" y="4933950"/>
          <a:ext cx="676275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MC</a:t>
          </a:r>
        </a:p>
      </xdr:txBody>
    </xdr:sp>
    <xdr:clientData/>
  </xdr:twoCellAnchor>
  <xdr:twoCellAnchor>
    <xdr:from>
      <xdr:col>9</xdr:col>
      <xdr:colOff>381000</xdr:colOff>
      <xdr:row>31</xdr:row>
      <xdr:rowOff>47625</xdr:rowOff>
    </xdr:from>
    <xdr:to>
      <xdr:col>10</xdr:col>
      <xdr:colOff>447675</xdr:colOff>
      <xdr:row>32</xdr:row>
      <xdr:rowOff>190499</xdr:rowOff>
    </xdr:to>
    <xdr:sp macro="" textlink="">
      <xdr:nvSpPr>
        <xdr:cNvPr id="6" name="TextBox 5"/>
        <xdr:cNvSpPr txBox="1"/>
      </xdr:nvSpPr>
      <xdr:spPr>
        <a:xfrm>
          <a:off x="5934075" y="5962650"/>
          <a:ext cx="676275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2"/>
              </a:solidFill>
            </a:rPr>
            <a:t>AVC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16"/>
  <sheetViews>
    <sheetView tabSelected="1" topLeftCell="B4" workbookViewId="0">
      <selection activeCell="M28" sqref="M28"/>
    </sheetView>
  </sheetViews>
  <sheetFormatPr defaultRowHeight="15" x14ac:dyDescent="0.25"/>
  <cols>
    <col min="3" max="3" width="9" bestFit="1" customWidth="1"/>
    <col min="4" max="4" width="10.5703125" bestFit="1" customWidth="1"/>
    <col min="5" max="5" width="9.5703125" bestFit="1" customWidth="1"/>
    <col min="6" max="6" width="8" bestFit="1" customWidth="1"/>
    <col min="7" max="7" width="9.5703125" bestFit="1" customWidth="1"/>
    <col min="11" max="11" width="10.5703125" bestFit="1" customWidth="1"/>
  </cols>
  <sheetData>
    <row r="5" spans="2:11" ht="15.75" x14ac:dyDescent="0.25">
      <c r="B5" t="s">
        <v>1</v>
      </c>
      <c r="C5" t="s">
        <v>0</v>
      </c>
      <c r="D5" t="s">
        <v>2</v>
      </c>
      <c r="E5" t="s">
        <v>6</v>
      </c>
      <c r="F5" t="s">
        <v>3</v>
      </c>
      <c r="G5" t="s">
        <v>4</v>
      </c>
      <c r="I5" t="s">
        <v>5</v>
      </c>
      <c r="J5" s="2" t="s">
        <v>1</v>
      </c>
      <c r="K5" s="3" t="s">
        <v>2</v>
      </c>
    </row>
    <row r="6" spans="2:11" x14ac:dyDescent="0.25">
      <c r="B6">
        <v>10</v>
      </c>
      <c r="C6" s="1">
        <v>800000</v>
      </c>
      <c r="D6" s="1">
        <f>C6+200*B6^2</f>
        <v>820000</v>
      </c>
      <c r="E6" s="1">
        <f>D6/B6</f>
        <v>82000</v>
      </c>
      <c r="F6" s="1">
        <f>(D6-C6)/B6</f>
        <v>2000</v>
      </c>
      <c r="G6" s="1">
        <f>(D7-D6)/(B7-B6)</f>
        <v>6000</v>
      </c>
      <c r="I6">
        <f ca="1">(0.5-RAND())/2</f>
        <v>-0.12081913492974372</v>
      </c>
      <c r="J6" s="4">
        <f>B6</f>
        <v>10</v>
      </c>
      <c r="K6" s="5">
        <f ca="1">(1+I6)*D6</f>
        <v>720928.30935761018</v>
      </c>
    </row>
    <row r="7" spans="2:11" x14ac:dyDescent="0.25">
      <c r="B7">
        <v>20</v>
      </c>
      <c r="C7" s="1">
        <f>C6</f>
        <v>800000</v>
      </c>
      <c r="D7" s="1">
        <f t="shared" ref="D7:D15" si="0">C7+200*B7^2</f>
        <v>880000</v>
      </c>
      <c r="E7" s="1">
        <f t="shared" ref="E7:E15" si="1">D7/B7</f>
        <v>44000</v>
      </c>
      <c r="F7" s="1">
        <f t="shared" ref="F7:F16" si="2">(D7-C7)/B7</f>
        <v>4000</v>
      </c>
      <c r="G7" s="1">
        <f t="shared" ref="G7:G15" si="3">(D8-D7)/(B8-B7)</f>
        <v>10000</v>
      </c>
      <c r="I7">
        <f t="shared" ref="I7:I15" ca="1" si="4">(0.5-RAND())/2</f>
        <v>0.23994773085453175</v>
      </c>
      <c r="J7" s="4">
        <f t="shared" ref="J7:J15" si="5">B7</f>
        <v>20</v>
      </c>
      <c r="K7" s="5">
        <f ca="1">(1+I7)*D7</f>
        <v>1091154.0031519879</v>
      </c>
    </row>
    <row r="8" spans="2:11" x14ac:dyDescent="0.25">
      <c r="B8">
        <v>30</v>
      </c>
      <c r="C8" s="1">
        <f t="shared" ref="C8:C15" si="6">C7</f>
        <v>800000</v>
      </c>
      <c r="D8" s="1">
        <f t="shared" si="0"/>
        <v>980000</v>
      </c>
      <c r="E8" s="1">
        <f t="shared" si="1"/>
        <v>32666.666666666668</v>
      </c>
      <c r="F8" s="1">
        <f t="shared" si="2"/>
        <v>6000</v>
      </c>
      <c r="G8" s="1">
        <f t="shared" si="3"/>
        <v>14000</v>
      </c>
      <c r="I8">
        <f t="shared" ca="1" si="4"/>
        <v>-0.18863791070615471</v>
      </c>
      <c r="J8" s="4">
        <f t="shared" si="5"/>
        <v>30</v>
      </c>
      <c r="K8" s="5">
        <f ca="1">(1+I8)*D8</f>
        <v>795134.84750796843</v>
      </c>
    </row>
    <row r="9" spans="2:11" x14ac:dyDescent="0.25">
      <c r="B9">
        <v>40</v>
      </c>
      <c r="C9" s="1">
        <f t="shared" si="6"/>
        <v>800000</v>
      </c>
      <c r="D9" s="1">
        <f t="shared" si="0"/>
        <v>1120000</v>
      </c>
      <c r="E9" s="1">
        <f t="shared" si="1"/>
        <v>28000</v>
      </c>
      <c r="F9" s="1">
        <f t="shared" si="2"/>
        <v>8000</v>
      </c>
      <c r="G9" s="1">
        <f t="shared" si="3"/>
        <v>18000</v>
      </c>
      <c r="I9">
        <f t="shared" ca="1" si="4"/>
        <v>4.5170336255673016E-2</v>
      </c>
      <c r="J9" s="4">
        <f t="shared" si="5"/>
        <v>40</v>
      </c>
      <c r="K9" s="5">
        <f ca="1">(1+I9)*D9</f>
        <v>1170590.7766063537</v>
      </c>
    </row>
    <row r="10" spans="2:11" x14ac:dyDescent="0.25">
      <c r="B10">
        <v>50</v>
      </c>
      <c r="C10" s="1">
        <f t="shared" si="6"/>
        <v>800000</v>
      </c>
      <c r="D10" s="1">
        <f t="shared" si="0"/>
        <v>1300000</v>
      </c>
      <c r="E10" s="1">
        <f t="shared" si="1"/>
        <v>26000</v>
      </c>
      <c r="F10" s="1">
        <f t="shared" si="2"/>
        <v>10000</v>
      </c>
      <c r="G10" s="1">
        <f t="shared" si="3"/>
        <v>22000</v>
      </c>
      <c r="I10">
        <f t="shared" ca="1" si="4"/>
        <v>-0.2292354299811325</v>
      </c>
      <c r="J10" s="4">
        <f t="shared" si="5"/>
        <v>50</v>
      </c>
      <c r="K10" s="5">
        <f ca="1">(1+I10)*D10</f>
        <v>1001993.9410245277</v>
      </c>
    </row>
    <row r="11" spans="2:11" x14ac:dyDescent="0.25">
      <c r="B11">
        <v>60</v>
      </c>
      <c r="C11" s="1">
        <f t="shared" si="6"/>
        <v>800000</v>
      </c>
      <c r="D11" s="1">
        <f t="shared" si="0"/>
        <v>1520000</v>
      </c>
      <c r="E11" s="1">
        <f t="shared" si="1"/>
        <v>25333.333333333332</v>
      </c>
      <c r="F11" s="1">
        <f t="shared" si="2"/>
        <v>12000</v>
      </c>
      <c r="G11" s="1">
        <f t="shared" si="3"/>
        <v>26000</v>
      </c>
      <c r="I11">
        <f t="shared" ca="1" si="4"/>
        <v>0.15058161301285755</v>
      </c>
      <c r="J11" s="4">
        <f t="shared" si="5"/>
        <v>60</v>
      </c>
      <c r="K11" s="5">
        <f ca="1">(1+I11)*D11</f>
        <v>1748884.0517795437</v>
      </c>
    </row>
    <row r="12" spans="2:11" x14ac:dyDescent="0.25">
      <c r="B12">
        <v>70</v>
      </c>
      <c r="C12" s="1">
        <f t="shared" si="6"/>
        <v>800000</v>
      </c>
      <c r="D12" s="1">
        <f t="shared" si="0"/>
        <v>1780000</v>
      </c>
      <c r="E12" s="1">
        <f t="shared" si="1"/>
        <v>25428.571428571428</v>
      </c>
      <c r="F12" s="1">
        <f t="shared" si="2"/>
        <v>14000</v>
      </c>
      <c r="G12" s="1">
        <f t="shared" si="3"/>
        <v>30000</v>
      </c>
      <c r="I12">
        <f t="shared" ca="1" si="4"/>
        <v>5.6197042263539609E-2</v>
      </c>
      <c r="J12" s="4">
        <f t="shared" si="5"/>
        <v>70</v>
      </c>
      <c r="K12" s="5">
        <f ca="1">(1+I12)*D12</f>
        <v>1880030.7352291006</v>
      </c>
    </row>
    <row r="13" spans="2:11" x14ac:dyDescent="0.25">
      <c r="B13">
        <v>80</v>
      </c>
      <c r="C13" s="1">
        <f t="shared" si="6"/>
        <v>800000</v>
      </c>
      <c r="D13" s="1">
        <f t="shared" si="0"/>
        <v>2080000</v>
      </c>
      <c r="E13" s="1">
        <f t="shared" si="1"/>
        <v>26000</v>
      </c>
      <c r="F13" s="1">
        <f t="shared" si="2"/>
        <v>16000</v>
      </c>
      <c r="G13" s="1">
        <f t="shared" si="3"/>
        <v>34000</v>
      </c>
      <c r="I13">
        <f t="shared" ca="1" si="4"/>
        <v>-0.15895174167783488</v>
      </c>
      <c r="J13" s="4">
        <f t="shared" si="5"/>
        <v>80</v>
      </c>
      <c r="K13" s="5">
        <f ca="1">(1+I13)*D13</f>
        <v>1749380.3773101035</v>
      </c>
    </row>
    <row r="14" spans="2:11" x14ac:dyDescent="0.25">
      <c r="B14">
        <v>90</v>
      </c>
      <c r="C14" s="1">
        <f t="shared" si="6"/>
        <v>800000</v>
      </c>
      <c r="D14" s="1">
        <f t="shared" si="0"/>
        <v>2420000</v>
      </c>
      <c r="E14" s="1">
        <f t="shared" si="1"/>
        <v>26888.888888888891</v>
      </c>
      <c r="F14" s="1">
        <f t="shared" si="2"/>
        <v>18000</v>
      </c>
      <c r="G14" s="1">
        <f t="shared" si="3"/>
        <v>38000</v>
      </c>
      <c r="I14">
        <f t="shared" ca="1" si="4"/>
        <v>-5.3502998201689911E-2</v>
      </c>
      <c r="J14" s="4">
        <f t="shared" si="5"/>
        <v>90</v>
      </c>
      <c r="K14" s="5">
        <f ca="1">(1+I14)*D14</f>
        <v>2290522.7443519104</v>
      </c>
    </row>
    <row r="15" spans="2:11" x14ac:dyDescent="0.25">
      <c r="B15">
        <v>100</v>
      </c>
      <c r="C15" s="1">
        <f t="shared" si="6"/>
        <v>800000</v>
      </c>
      <c r="D15" s="1">
        <f t="shared" si="0"/>
        <v>2800000</v>
      </c>
      <c r="E15" s="1">
        <f t="shared" si="1"/>
        <v>28000</v>
      </c>
      <c r="F15" s="1">
        <f t="shared" si="2"/>
        <v>20000</v>
      </c>
      <c r="G15" s="1">
        <f t="shared" si="3"/>
        <v>42000</v>
      </c>
      <c r="I15">
        <f t="shared" ca="1" si="4"/>
        <v>2.6674702910088277E-2</v>
      </c>
      <c r="J15" s="6">
        <f t="shared" si="5"/>
        <v>100</v>
      </c>
      <c r="K15" s="7">
        <f ca="1">(1+I15)*D15</f>
        <v>2874689.1681482471</v>
      </c>
    </row>
    <row r="16" spans="2:11" x14ac:dyDescent="0.25">
      <c r="B16" s="8">
        <v>110</v>
      </c>
      <c r="C16" s="9">
        <f t="shared" ref="C16" si="7">C15</f>
        <v>800000</v>
      </c>
      <c r="D16" s="9">
        <f t="shared" ref="D16" si="8">C16+200*B16^2</f>
        <v>3220000</v>
      </c>
      <c r="E16" s="9">
        <f t="shared" ref="E16" si="9">D16/B16</f>
        <v>29272.727272727272</v>
      </c>
      <c r="F16" s="9">
        <f t="shared" si="2"/>
        <v>22000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Voigtländer</dc:creator>
  <cp:lastModifiedBy>Nico Voigtländer</cp:lastModifiedBy>
  <dcterms:created xsi:type="dcterms:W3CDTF">2016-02-03T07:53:28Z</dcterms:created>
  <dcterms:modified xsi:type="dcterms:W3CDTF">2016-02-03T21:07:37Z</dcterms:modified>
</cp:coreProperties>
</file>