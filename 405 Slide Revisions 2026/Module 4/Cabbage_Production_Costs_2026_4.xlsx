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mwasserm/Dropbox/Teaching 405 GEM Folder/## Revised Slides 2026/4. Perfect Competition/working/"/>
    </mc:Choice>
  </mc:AlternateContent>
  <xr:revisionPtr revIDLastSave="0" documentId="13_ncr:1_{51AA1A8B-D482-DA45-B709-C6A2744C5541}" xr6:coauthVersionLast="47" xr6:coauthVersionMax="47" xr10:uidLastSave="{00000000-0000-0000-0000-000000000000}"/>
  <bookViews>
    <workbookView xWindow="0" yWindow="500" windowWidth="27360" windowHeight="24460" tabRatio="500" activeTab="4" xr2:uid="{00000000-000D-0000-FFFF-FFFF00000000}"/>
  </bookViews>
  <sheets>
    <sheet name="Assumptions" sheetId="1" r:id="rId1"/>
    <sheet name="Cost Table" sheetId="2" r:id="rId2"/>
    <sheet name="Per-Unit Costs" sheetId="3" r:id="rId3"/>
    <sheet name="Current Prices" sheetId="4" r:id="rId4"/>
    <sheet name="TC Curve" sheetId="5" r:id="rId5"/>
    <sheet name="Sourc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1" i="5" l="1"/>
  <c r="D20" i="5"/>
  <c r="D19" i="5"/>
  <c r="D18" i="5"/>
  <c r="D17" i="5"/>
  <c r="D16" i="5"/>
  <c r="D15" i="5"/>
  <c r="D14" i="5"/>
  <c r="D13" i="5"/>
  <c r="D12" i="5"/>
  <c r="D11" i="5"/>
  <c r="D10" i="5"/>
  <c r="I19" i="4"/>
  <c r="H19" i="4"/>
  <c r="G19" i="4"/>
  <c r="F19" i="4"/>
  <c r="G18" i="4"/>
  <c r="I18" i="4" s="1"/>
  <c r="F18" i="4"/>
  <c r="I17" i="4"/>
  <c r="G17" i="4"/>
  <c r="F17" i="4"/>
  <c r="H17" i="4" s="1"/>
  <c r="I16" i="4"/>
  <c r="G16" i="4"/>
  <c r="F16" i="4"/>
  <c r="H16" i="4" s="1"/>
  <c r="H15" i="4"/>
  <c r="G15" i="4"/>
  <c r="I15" i="4" s="1"/>
  <c r="F15" i="4"/>
  <c r="H14" i="4"/>
  <c r="G14" i="4"/>
  <c r="I14" i="4" s="1"/>
  <c r="F14" i="4"/>
  <c r="I13" i="4"/>
  <c r="G13" i="4"/>
  <c r="F13" i="4"/>
  <c r="H13" i="4" s="1"/>
  <c r="I12" i="4"/>
  <c r="H12" i="4"/>
  <c r="G12" i="4"/>
  <c r="F12" i="4"/>
  <c r="H11" i="4"/>
  <c r="G11" i="4"/>
  <c r="F11" i="4"/>
  <c r="G10" i="4"/>
  <c r="I10" i="4" s="1"/>
  <c r="F10" i="4"/>
  <c r="H10" i="4" s="1"/>
  <c r="B7" i="4"/>
  <c r="B6" i="4"/>
  <c r="H18" i="4" s="1"/>
  <c r="A16" i="3"/>
  <c r="A15" i="3"/>
  <c r="A14" i="3"/>
  <c r="A13" i="3"/>
  <c r="A12" i="3"/>
  <c r="A11" i="3"/>
  <c r="A10" i="3"/>
  <c r="A9" i="3"/>
  <c r="A8" i="3"/>
  <c r="A7" i="3"/>
  <c r="A6" i="3"/>
  <c r="A5" i="3"/>
  <c r="C16" i="2"/>
  <c r="B15" i="3" s="1"/>
  <c r="C14" i="2"/>
  <c r="B13" i="3" s="1"/>
  <c r="C12" i="2"/>
  <c r="B11" i="3" s="1"/>
  <c r="C10" i="2"/>
  <c r="B9" i="3" s="1"/>
  <c r="C8" i="2"/>
  <c r="B7" i="3" s="1"/>
  <c r="C6" i="2"/>
  <c r="B5" i="3" s="1"/>
  <c r="B85" i="1"/>
  <c r="B84" i="1"/>
  <c r="B80" i="1"/>
  <c r="B79" i="1"/>
  <c r="B88" i="1" s="1"/>
  <c r="B74" i="1"/>
  <c r="B67" i="1"/>
  <c r="B26" i="5" s="1"/>
  <c r="B66" i="1"/>
  <c r="B42" i="5" s="1"/>
  <c r="B65" i="1"/>
  <c r="B56" i="5" s="1"/>
  <c r="B47" i="1"/>
  <c r="B49" i="1" s="1"/>
  <c r="B26" i="1"/>
  <c r="C25" i="1"/>
  <c r="B37" i="1" s="1"/>
  <c r="B42" i="1" s="1"/>
  <c r="C24" i="1"/>
  <c r="C23" i="1"/>
  <c r="C22" i="1"/>
  <c r="C21" i="1"/>
  <c r="C26" i="1" s="1"/>
  <c r="B14" i="1"/>
  <c r="B68" i="1" s="1"/>
  <c r="B69" i="1" s="1"/>
  <c r="B8" i="1"/>
  <c r="B70" i="1" s="1"/>
  <c r="B71" i="1" l="1"/>
  <c r="B72" i="1" s="1"/>
  <c r="J17" i="4"/>
  <c r="L17" i="4" s="1"/>
  <c r="B73" i="1"/>
  <c r="B27" i="1"/>
  <c r="B46" i="1"/>
  <c r="B48" i="1" s="1"/>
  <c r="B45" i="1"/>
  <c r="B43" i="1"/>
  <c r="B44" i="1"/>
  <c r="B54" i="1"/>
  <c r="B56" i="1" s="1"/>
  <c r="D6" i="2"/>
  <c r="C5" i="3" s="1"/>
  <c r="D10" i="2"/>
  <c r="C9" i="3" s="1"/>
  <c r="D14" i="2"/>
  <c r="C13" i="3" s="1"/>
  <c r="B9" i="5"/>
  <c r="B33" i="5"/>
  <c r="B45" i="5"/>
  <c r="B10" i="5"/>
  <c r="B13" i="5"/>
  <c r="B16" i="5"/>
  <c r="B19" i="5"/>
  <c r="B22" i="5"/>
  <c r="B34" i="5"/>
  <c r="B46" i="5"/>
  <c r="B81" i="1"/>
  <c r="C7" i="2"/>
  <c r="C11" i="2"/>
  <c r="C15" i="2"/>
  <c r="E5" i="3"/>
  <c r="B23" i="5"/>
  <c r="B35" i="5"/>
  <c r="B47" i="5"/>
  <c r="E7" i="3"/>
  <c r="E9" i="3"/>
  <c r="E11" i="3"/>
  <c r="E13" i="3"/>
  <c r="E15" i="3"/>
  <c r="B82" i="1"/>
  <c r="B83" i="1" s="1"/>
  <c r="D7" i="2"/>
  <c r="C6" i="3" s="1"/>
  <c r="D11" i="2"/>
  <c r="C10" i="3" s="1"/>
  <c r="D15" i="2"/>
  <c r="C14" i="3" s="1"/>
  <c r="B24" i="5"/>
  <c r="B36" i="5"/>
  <c r="B48" i="5"/>
  <c r="B12" i="2"/>
  <c r="B16" i="2"/>
  <c r="B25" i="5"/>
  <c r="B37" i="5"/>
  <c r="B49" i="5"/>
  <c r="B11" i="5"/>
  <c r="B14" i="5"/>
  <c r="B17" i="5"/>
  <c r="B20" i="5"/>
  <c r="B38" i="5"/>
  <c r="B50" i="5"/>
  <c r="B27" i="5"/>
  <c r="B39" i="5"/>
  <c r="B51" i="5"/>
  <c r="B86" i="1"/>
  <c r="B87" i="1" s="1"/>
  <c r="E6" i="3"/>
  <c r="E8" i="3"/>
  <c r="E10" i="3"/>
  <c r="E12" i="3"/>
  <c r="E14" i="3"/>
  <c r="E16" i="3"/>
  <c r="B28" i="5"/>
  <c r="B40" i="5"/>
  <c r="B52" i="5"/>
  <c r="C9" i="2"/>
  <c r="C13" i="2"/>
  <c r="C17" i="2"/>
  <c r="B29" i="5"/>
  <c r="B41" i="5"/>
  <c r="B53" i="5"/>
  <c r="B5" i="4"/>
  <c r="K13" i="4" s="1"/>
  <c r="B12" i="5"/>
  <c r="B15" i="5"/>
  <c r="B18" i="5"/>
  <c r="B21" i="5"/>
  <c r="B30" i="5"/>
  <c r="B54" i="5"/>
  <c r="D8" i="2"/>
  <c r="C7" i="3" s="1"/>
  <c r="D12" i="2"/>
  <c r="C11" i="3" s="1"/>
  <c r="D16" i="2"/>
  <c r="C15" i="3" s="1"/>
  <c r="D9" i="2"/>
  <c r="C8" i="3" s="1"/>
  <c r="D13" i="2"/>
  <c r="C12" i="3" s="1"/>
  <c r="D17" i="2"/>
  <c r="C16" i="3" s="1"/>
  <c r="B6" i="2"/>
  <c r="B10" i="2"/>
  <c r="B14" i="2"/>
  <c r="I11" i="4"/>
  <c r="A2" i="5"/>
  <c r="B31" i="5"/>
  <c r="B43" i="5"/>
  <c r="B55" i="5"/>
  <c r="B8" i="5"/>
  <c r="B32" i="5"/>
  <c r="B44" i="5"/>
  <c r="E14" i="5" l="1"/>
  <c r="G14" i="5" s="1"/>
  <c r="D9" i="3"/>
  <c r="J11" i="4"/>
  <c r="L11" i="4" s="1"/>
  <c r="K10" i="4"/>
  <c r="J19" i="4"/>
  <c r="L19" i="4" s="1"/>
  <c r="K17" i="4"/>
  <c r="J12" i="4"/>
  <c r="L12" i="4" s="1"/>
  <c r="K15" i="4"/>
  <c r="K16" i="4"/>
  <c r="B14" i="3"/>
  <c r="B15" i="2"/>
  <c r="K18" i="4"/>
  <c r="J14" i="4"/>
  <c r="L14" i="4" s="1"/>
  <c r="B10" i="3"/>
  <c r="B11" i="2"/>
  <c r="K14" i="4"/>
  <c r="E18" i="5"/>
  <c r="G18" i="5" s="1"/>
  <c r="F13" i="3"/>
  <c r="D13" i="3"/>
  <c r="B6" i="3"/>
  <c r="B7" i="2"/>
  <c r="J10" i="4"/>
  <c r="L10" i="4" s="1"/>
  <c r="B17" i="2"/>
  <c r="B16" i="3"/>
  <c r="J15" i="4"/>
  <c r="L15" i="4" s="1"/>
  <c r="E10" i="5"/>
  <c r="G10" i="5" s="1"/>
  <c r="D5" i="3"/>
  <c r="B13" i="2"/>
  <c r="B12" i="3"/>
  <c r="B53" i="1"/>
  <c r="B51" i="1"/>
  <c r="B50" i="1"/>
  <c r="J13" i="4"/>
  <c r="L13" i="4" s="1"/>
  <c r="E20" i="5"/>
  <c r="G20" i="5" s="1"/>
  <c r="D15" i="3"/>
  <c r="B55" i="1"/>
  <c r="K12" i="4"/>
  <c r="E16" i="5"/>
  <c r="G16" i="5" s="1"/>
  <c r="F11" i="3"/>
  <c r="D11" i="3"/>
  <c r="B52" i="1"/>
  <c r="B9" i="2"/>
  <c r="B8" i="3"/>
  <c r="K11" i="4"/>
  <c r="B8" i="2"/>
  <c r="K19" i="4"/>
  <c r="J18" i="4"/>
  <c r="L18" i="4" s="1"/>
  <c r="J16" i="4"/>
  <c r="L16" i="4" s="1"/>
  <c r="D14" i="3" l="1"/>
  <c r="F14" i="3"/>
  <c r="E19" i="5"/>
  <c r="G19" i="5" s="1"/>
  <c r="E12" i="5"/>
  <c r="G12" i="5" s="1"/>
  <c r="F7" i="3"/>
  <c r="D7" i="3"/>
  <c r="D6" i="3"/>
  <c r="F6" i="3"/>
  <c r="E11" i="5"/>
  <c r="G11" i="5" s="1"/>
  <c r="D8" i="3"/>
  <c r="F8" i="3"/>
  <c r="E13" i="5"/>
  <c r="G13" i="5" s="1"/>
  <c r="F15" i="3"/>
  <c r="E21" i="5"/>
  <c r="G21" i="5" s="1"/>
  <c r="D16" i="3"/>
  <c r="F16" i="3"/>
  <c r="F9" i="3"/>
  <c r="D12" i="3"/>
  <c r="F12" i="3"/>
  <c r="E17" i="5"/>
  <c r="G17" i="5" s="1"/>
  <c r="E15" i="5"/>
  <c r="G15" i="5" s="1"/>
  <c r="D10" i="3"/>
  <c r="F1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3" authorId="0" shapeId="0" xr:uid="{00000000-0006-0000-0000-000001000000}">
      <text>
        <r>
          <rPr>
            <sz val="10"/>
            <rFont val="Arial"/>
            <family val="2"/>
          </rPr>
          <t>SOURCE: US Bureau of Labor Statistics, Occupational Outlook Handbook, 'Agricultural Workers', median annual wage $35,980 (May 2024 OEWS data). https://www.bls.gov/ooh/farming-fishing-and-forestry/agricultural-workers.htm
WHY THIS FIGURE: it charges the family's own labour at a full-time farm wage. Cross-check: back-solving from the $1,103/acre profit UF/IFAS report gives an implied opportunity cost of $33,748, within $2,232 of this wage.
ALTERNATIVES (same BLS source): agricultural workers hourly $17.30; farmworkers and labourers, crop/nursery/greenhouse $35,690/yr; agricultural equipment operators $42,580/yr; farmers, ranchers and other agricultural managers median $87,980/yr, lowest 10% $51,700/yr.
REPLACES the original $15,000 placeholder, which carried no source.</t>
        </r>
      </text>
    </comment>
    <comment ref="B14" authorId="0" shapeId="0" xr:uid="{00000000-0006-0000-0000-000002000000}">
      <text>
        <r>
          <rPr>
            <sz val="10"/>
            <rFont val="Arial"/>
            <family val="2"/>
          </rPr>
          <t>TFC = 40 acres x ($221 land rent + $370 equipment ownership) + $35,980 foregone earnings = $59,620. Land rent and equipment from UF/IFAS Aug 2025; opportunity cost from BLS (see the comment on B13).</t>
        </r>
      </text>
    </comment>
    <comment ref="B25" authorId="0" shapeId="0" xr:uid="{00000000-0006-0000-0000-000003000000}">
      <text>
        <r>
          <rPr>
            <sz val="10"/>
            <rFont val="Arial"/>
            <family val="2"/>
          </rPr>
          <t>SOURCE: UF/IFAS, Sample Costs and Returns for Producing Cabbage in Northeast Florida, August 2025: 'Harvesting and packing costs are estimated at $4,805 per acre.' Reported as one lump figure from producer interviews; the budget does not itemise labour, containers, cooling or hauling. At 42,000 lb/acre in 50-lb boxes that is 840 boxes/acre, about $5.72/box or $228.81/ton. The 10% broker fee is separate and is deducted from the F.O.B. price (cell B39).</t>
        </r>
      </text>
    </comment>
    <comment ref="B49" authorId="0" shapeId="0" xr:uid="{00000000-0006-0000-0000-000004000000}">
      <text>
        <r>
          <rPr>
            <sz val="10"/>
            <rFont val="Arial"/>
            <family val="2"/>
          </rPr>
          <t>Calibrated, not assumed: b is solved from AVC = a + bQ so that average variable cost at the benchmark output equals the sourced per-ton total in C26. See the calibration note at the bottom of this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5" authorId="0" shapeId="0" xr:uid="{00000000-0006-0000-0300-000001000000}">
      <text>
        <r>
          <rPr>
            <sz val="10"/>
            <rFont val="Arial"/>
            <family val="2"/>
          </rPr>
          <t>Break-even price per ton = TFC/Q + a + bQ evaluated at the benchmark output of 840 tons. Any net price above this earns a profit at that output.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0" authorId="0" shapeId="0" xr:uid="{00000000-0006-0000-0400-000001000000}">
      <text>
        <r>
          <rPr>
            <sz val="10"/>
            <rFont val="Arial"/>
            <family val="2"/>
          </rPr>
          <t>Deliberate, fixed deviations - NOT a random function. RAND() or RANDBETWEEN() would recalculate every time the file opens, so the chart would look different in every lecture and would not match any printout. Edit these cells to reshape the scatter, or set the noise scale in E7 to 0 to plot the exact quadratic.</t>
        </r>
      </text>
    </comment>
  </commentList>
</comments>
</file>

<file path=xl/sharedStrings.xml><?xml version="1.0" encoding="utf-8"?>
<sst xmlns="http://schemas.openxmlformats.org/spreadsheetml/2006/main" count="386" uniqueCount="326">
  <si>
    <t>CABBAGE PRODUCTION COSTS - Yi Family Example</t>
  </si>
  <si>
    <t>Assumptions and cost-function calibration. Updated August 2026.</t>
  </si>
  <si>
    <t>HOW TO USE: edit only the yellow-filled blue cells. The Cost Table and Per-Unit Costs tabs recalculate automatically.</t>
  </si>
  <si>
    <t>FARM SCALE</t>
  </si>
  <si>
    <t>Plot size (acres)</t>
  </si>
  <si>
    <t>THE FIXED FACTOR. Fixed in the short run.</t>
  </si>
  <si>
    <t>Teaching assumption</t>
  </si>
  <si>
    <t>Benchmark yield (tons per acre)</t>
  </si>
  <si>
    <t>42,000 lb/acre. Used only to convert the source budget's per-acre figures into per-ton ones.</t>
  </si>
  <si>
    <t>UF/IFAS Aug 2025</t>
  </si>
  <si>
    <t>Benchmark output (tons)</t>
  </si>
  <si>
    <t>acres x yield</t>
  </si>
  <si>
    <t>FIXED COSTS  (do not vary with output)</t>
  </si>
  <si>
    <t>Land rent ($ per acre per year)</t>
  </si>
  <si>
    <t>Rented-land case.</t>
  </si>
  <si>
    <t>Equipment &amp; vehicle ownership ($ per acre per year)</t>
  </si>
  <si>
    <t>$336 machinery + $34 vehicles.</t>
  </si>
  <si>
    <t>Opportunity cost - foregone off-farm earnings ($ per year)</t>
  </si>
  <si>
    <t>Family labour charged at a full-time farm wage.</t>
  </si>
  <si>
    <t>BLS OOH, May 2024</t>
  </si>
  <si>
    <t>TOTAL FIXED COST  (TFC)</t>
  </si>
  <si>
    <t>acres x (rent + equipment) + opportunity cost</t>
  </si>
  <si>
    <t>Acreage belongs HERE and nowhere else. The plot is the fixed factor, so its cost is fixed - it does not change when the farm produces more or fewer tons.</t>
  </si>
  <si>
    <t>VARIABLE COSTS  (vary with TONS of cabbage, not with acreage)</t>
  </si>
  <si>
    <t>The source budget reports these per acre, so column B keeps the sourced figure for the audit trail. The model uses column C - dollars per TON - because tons are what</t>
  </si>
  <si>
    <t>actually drives these costs: no cabbage, no seed bill, no harvest bill. Column C = column B divided by the benchmark yield in B7. Acreage never enters variable cost.</t>
  </si>
  <si>
    <t>Input</t>
  </si>
  <si>
    <t>$ per acre (source)</t>
  </si>
  <si>
    <t>$ per ton (used)</t>
  </si>
  <si>
    <t>Source</t>
  </si>
  <si>
    <t>1. Seeds &amp; transplants</t>
  </si>
  <si>
    <t>2. Water / irrigation</t>
  </si>
  <si>
    <t>UC ANR Ventura 2012/13</t>
  </si>
  <si>
    <t>3. Fertilizer &amp; lime</t>
  </si>
  <si>
    <t>4. Pesticides &amp; pest control</t>
  </si>
  <si>
    <t>5. Harvest &amp; packing</t>
  </si>
  <si>
    <t>TOTAL VARIABLE COST PER TON at benchmark intensity</t>
  </si>
  <si>
    <t>This is AVC at the benchmark output.</t>
  </si>
  <si>
    <t>Total variable cost at benchmark output ($)</t>
  </si>
  <si>
    <t>$ per ton x tons. No acreage term anywhere in this line.</t>
  </si>
  <si>
    <t>VARIABLE COST FUNCTION      TVC = a x Q + b x Q^2      so      AVC = a + b x Q</t>
  </si>
  <si>
    <t>Harvest &amp; packing is charged per box, so on its own it would stay flat per ton. The four agronomic inputs go onto a FIXED plot, so squeezing more tons out of it runs into</t>
  </si>
  <si>
    <t>diminishing returns - each extra ton needs disproportionately more seed, water and spray. That is what makes b positive and marginal cost rise.</t>
  </si>
  <si>
    <t>CALIBRATION MODE  (type 1, 2 or 3)</t>
  </si>
  <si>
    <t>Mode 3 is the default. ALL THREE modes give identical total cost - and identical profit - AT the benchmark output.</t>
  </si>
  <si>
    <t>See note below</t>
  </si>
  <si>
    <t>MODE 1  harvest &amp; packing strictly flat per ton. Cleanest cost accounting; almost no curvature (15% of TVC) and the benchmark is nowhere near the optimum.</t>
  </si>
  <si>
    <t>MODE 2  fit so marginal cost equals the NET price at the benchmark. Moderate curvature (46%); 21 tons/acre is exactly the profit-maximising output.</t>
  </si>
  <si>
    <t>MODE 3  choose the curvature directly in B39. At b = 0.2 - the coefficient the original slide used - curvature reaches 62% of TVC and marginal cost at the benchmark comes</t>
  </si>
  <si>
    <t>out at $472.86, within 14 cents of the gross F.O.B. price of $473. In every mode 'a' then follows from AVC = a + bQ, so sourced spending at 840 tons is matched exactly - until the presentation rounding below is switched on, which trades a little accuracy for round numbers.</t>
  </si>
  <si>
    <t>a1  -  harvest &amp; packing per ton ($ per ton)</t>
  </si>
  <si>
    <t>Straight from the table above - already per ton.</t>
  </si>
  <si>
    <t>a2  -  linear agronomic cost per ton ($ per ton)</t>
  </si>
  <si>
    <t>MODE 1 ONLY. Agronomic cost per ton before crowding.</t>
  </si>
  <si>
    <t>Calibration choice</t>
  </si>
  <si>
    <t>b  -  chosen curvature ($ per ton squared)</t>
  </si>
  <si>
    <t>MODE 3 ONLY. Raise it for a more visibly bent curve; 0.2 matches the original slide.</t>
  </si>
  <si>
    <t>Design choice</t>
  </si>
  <si>
    <t>Calibration net price ($ per ton)</t>
  </si>
  <si>
    <t>MODE 2 ONLY. The price at which the farm was observed choosing 21 t/acre.</t>
  </si>
  <si>
    <t>Keep the calibration price FIXED. It anchors the shape of the curve in mode 2. The scenario price further down is separate, so you can vary price and watch output respond.</t>
  </si>
  <si>
    <t>a under mode 1</t>
  </si>
  <si>
    <t>a1 + a2</t>
  </si>
  <si>
    <t>b under mode 1</t>
  </si>
  <si>
    <t>From AVC = a + bQ at the benchmark.</t>
  </si>
  <si>
    <t>a under mode 2</t>
  </si>
  <si>
    <t>Solves AVC = a + bQ and MC = calibration price, both at the benchmark.</t>
  </si>
  <si>
    <t>b under mode 2</t>
  </si>
  <si>
    <t>(calibration price - AVC) / benchmark output.</t>
  </si>
  <si>
    <t>a under mode 3</t>
  </si>
  <si>
    <t>Whatever a must be so AVC still hits the sourced total at the benchmark.</t>
  </si>
  <si>
    <t>b under mode 3</t>
  </si>
  <si>
    <t>Taken straight from your choice in B39.</t>
  </si>
  <si>
    <t>a  -  FROM CALIBRATION ($ per ton)</t>
  </si>
  <si>
    <t>Set by the mode in B32. The slide may use the rounded value below instead.</t>
  </si>
  <si>
    <t>b  -  FROM CALIBRATION ($ per ton squared)</t>
  </si>
  <si>
    <t>Check: AVC at benchmark output ($ per ton)</t>
  </si>
  <si>
    <t>Must equal cell C26 in ALL THREE modes.</t>
  </si>
  <si>
    <t>Check: TVC at benchmark output ($)</t>
  </si>
  <si>
    <t>Must equal cell B27 in ALL THREE modes.</t>
  </si>
  <si>
    <t>Curvature: quadratic share of TVC at Q = 1,100</t>
  </si>
  <si>
    <t>Mode 1 about 15%, mode 2 about 46%, mode 3 at b=0.2 about 62%. The original slide was 85%.</t>
  </si>
  <si>
    <t>Price at which the BENCHMARK output is optimal ($ per ton)</t>
  </si>
  <si>
    <t>Marginal cost at 840 tons. Read this as: the curvature you pick implies this price.</t>
  </si>
  <si>
    <t>Output at minimum ATC (tons)</t>
  </si>
  <si>
    <t>Where the average total cost curve bottoms out.</t>
  </si>
  <si>
    <t>Minimum ATC ($ per ton)</t>
  </si>
  <si>
    <t>The farm's break-even price.</t>
  </si>
  <si>
    <t>Yield at that output (tons per acre)</t>
  </si>
  <si>
    <t>Compare with the NASS yields below.</t>
  </si>
  <si>
    <t>PRESENTATION ROUNDING  (round numbers for the slide, with the cost of rounding shown)</t>
  </si>
  <si>
    <t>The calibrated figures above are exact but untidy. These three cells let you put round numbers on the slide instead, and the reconciliation rows show precisely what</t>
  </si>
  <si>
    <t>that costs against the sourced data - so the rounding is a documented choice rather than a quiet fudge. Set B61 to 0 at any time to fall back to the exact calibration.</t>
  </si>
  <si>
    <t>Use rounded values?  (1 = yes, 0 = no)</t>
  </si>
  <si>
    <t>Everything downstream - table, curves, charts - follows this switch.</t>
  </si>
  <si>
    <t>Rounded TFC ($)</t>
  </si>
  <si>
    <t>Computed value is $59,620.</t>
  </si>
  <si>
    <t>Rounded for the slide</t>
  </si>
  <si>
    <t>Rounded a  -  linear term ($ per ton)</t>
  </si>
  <si>
    <t>Calibrated value is $136.86.</t>
  </si>
  <si>
    <t>Rounded b  -  curvature ($ per ton squared)</t>
  </si>
  <si>
    <t>Calibrated value is 0.2000 already.</t>
  </si>
  <si>
    <t>TFC IN USE ($)</t>
  </si>
  <si>
    <t>This is the fixed cost every other tab reads.</t>
  </si>
  <si>
    <t>a IN USE ($ per ton)</t>
  </si>
  <si>
    <t>This is the linear term every other tab reads.</t>
  </si>
  <si>
    <t>b IN USE ($ per ton squared)</t>
  </si>
  <si>
    <t>This is the curvature every other tab reads.</t>
  </si>
  <si>
    <t>Rounding effect on TFC ($)</t>
  </si>
  <si>
    <t>Rounded minus computed.</t>
  </si>
  <si>
    <t>Rounding effect on TFC (%)</t>
  </si>
  <si>
    <t>TVC at benchmark under the values in use ($)</t>
  </si>
  <si>
    <t>Compare with the sourced figure in B27.</t>
  </si>
  <si>
    <t>Rounding effect on variable cost ($)</t>
  </si>
  <si>
    <t>Negative means the slide understates sourced spending.</t>
  </si>
  <si>
    <t>Rounding effect on variable cost (%)</t>
  </si>
  <si>
    <t>Keep this inside about 1% and the slide stays defensible.</t>
  </si>
  <si>
    <t>b that would restore the sourced anchor exactly, given a in use</t>
  </si>
  <si>
    <t>Use this instead of 0.2 if you want variable cost to match the source to the cent.</t>
  </si>
  <si>
    <t>Curvature: quadratic share of TVC at Q = 1,100 (values in use)</t>
  </si>
  <si>
    <t>The original slide reached 85%.</t>
  </si>
  <si>
    <t>PROFIT CHECK  -  SCENARIO PRICE  (vary this freely; the cost curve stays put)</t>
  </si>
  <si>
    <t>Cabbage price, F.O.B. ($ per ton)</t>
  </si>
  <si>
    <t>$11.83 per 50-lb box. Current quotes on the Current Prices tab.</t>
  </si>
  <si>
    <t>Broker fee (share of F.O.B. value)</t>
  </si>
  <si>
    <t>Deducted before gross farm revenue.</t>
  </si>
  <si>
    <t>Net price received ($ per ton)</t>
  </si>
  <si>
    <t>This is the price to compare against MC.</t>
  </si>
  <si>
    <t>ATC at benchmark output ($ per ton)</t>
  </si>
  <si>
    <t>Using the values in use.</t>
  </si>
  <si>
    <t>Marginal cost at benchmark output ($ per ton)</t>
  </si>
  <si>
    <t>The price at which 840 tons would be exactly optimal.</t>
  </si>
  <si>
    <t>Profit per ton at benchmark output ($)</t>
  </si>
  <si>
    <t>Net price minus ATC at 840 tons.</t>
  </si>
  <si>
    <t>Profit per acre at benchmark output ($)</t>
  </si>
  <si>
    <t>UF/IFAS report about $1,103 per acre on rented land.</t>
  </si>
  <si>
    <t>PROFIT-MAXIMISING OUTPUT, where MC = net price (tons)</t>
  </si>
  <si>
    <t>Compare with the benchmark of 840 tons.</t>
  </si>
  <si>
    <t>Shut-down check: net price minus minimum AVC ($ per ton)</t>
  </si>
  <si>
    <t>Positive means keep producing in the short run; negative means shut down.</t>
  </si>
  <si>
    <t>REFERENCE VALUES  -  swap any of these into the blue cells above</t>
  </si>
  <si>
    <t>Item</t>
  </si>
  <si>
    <t>Value</t>
  </si>
  <si>
    <t>Unit</t>
  </si>
  <si>
    <t>Land rent - NE Florida cabbage budget (rented land)</t>
  </si>
  <si>
    <t>$/acre/yr</t>
  </si>
  <si>
    <t>Land rent - US average, irrigated cropland</t>
  </si>
  <si>
    <t>USDA NASS 2025</t>
  </si>
  <si>
    <t>Land rent - California average, irrigated cropland</t>
  </si>
  <si>
    <t>Land rent - Ventura Co. coastal vegetable ground</t>
  </si>
  <si>
    <t>UC ANR 2012/13</t>
  </si>
  <si>
    <t>Irrigation water - Sacramento Valley average</t>
  </si>
  <si>
    <t>$/acre-foot</t>
  </si>
  <si>
    <t>UC Merced 2006-2024</t>
  </si>
  <si>
    <t>Irrigation water - San Joaquin Valley average</t>
  </si>
  <si>
    <t>Irrigation water - Tulare Lake Basin average</t>
  </si>
  <si>
    <t>Median wage - agricultural workers (used above)</t>
  </si>
  <si>
    <t>$/year</t>
  </si>
  <si>
    <t>Median hourly wage - agricultural workers</t>
  </si>
  <si>
    <t>$/hour</t>
  </si>
  <si>
    <t>Median wage - farmers, ranchers &amp; ag managers</t>
  </si>
  <si>
    <t>Lowest 10% - farmers, ranchers &amp; ag managers</t>
  </si>
  <si>
    <t>Cabbage yield - US average, fresh market</t>
  </si>
  <si>
    <t>tons/acre</t>
  </si>
  <si>
    <t>Cabbage yield - California</t>
  </si>
  <si>
    <t>Cabbage yield - Florida</t>
  </si>
  <si>
    <t>Cabbage yield - Wisconsin (highest state)</t>
  </si>
  <si>
    <t>Cabbage price - Florida season average</t>
  </si>
  <si>
    <t>$/ton</t>
  </si>
  <si>
    <t>Cabbage price - US season average</t>
  </si>
  <si>
    <t>CALIBRATION NOTE - WORTH READING BEFORE CLASS</t>
  </si>
  <si>
    <t>1. WHY VARIABLE COSTS ARE PER TON. The source budget reports costs per acre, which is how growers plan. But in this model acreage is the FIXED factor, so per-acre costs</t>
  </si>
  <si>
    <t xml:space="preserve">   would make variable cost look like it depends on plot size rather than on output. Column C converts each line to dollars per ton, and TVC is built from those. Acreage</t>
  </si>
  <si>
    <t xml:space="preserve">   appears only in TFC. Changing B6 therefore changes fixed cost and the number of tons the benchmark implies - it does NOT rescale variable cost per ton.</t>
  </si>
  <si>
    <t>2. WHERE THE OPPORTUNITY COST COMES FROM. $35,980 is the BLS median ANNUAL wage for agricultural workers, May 2024 (Occupational Outlook Handbook; matching hourly figure</t>
  </si>
  <si>
    <t xml:space="preserve">   $17.30). It charges the family's own labour at what a full-time farm job pays. It is NOT the ag-MANAGER median ($87,980) - that figure produces a $253-per-acre LOSS at</t>
  </si>
  <si>
    <t xml:space="preserve">   the benchmark yield, which would tell students the Yi family should shut down. Independent check: working backwards from the profit UF/IFAS actually report (about</t>
  </si>
  <si>
    <t xml:space="preserve">   $1,103/acre on rented land), the implied opportunity cost is $33,748 - within $2,232 of the BLS wage. Two unrelated sources agreeing is why this figure was chosen</t>
  </si>
  <si>
    <t xml:space="preserve">   over the original $15,000 placeholder, which had no source at all.</t>
  </si>
  <si>
    <t>3. THE MODEL IS WELL ANCHORED. UF/IFAS assume 21 tons/acre; Florida's actual 2025 state average was 21.8 (USDA NASS). The net price used here, $425.70/ton, is within $3</t>
  </si>
  <si>
    <t xml:space="preserve">   of Florida's actual 2025 season average of $428/ton, and sits inside the current August 2026 FOB range on the Current Prices tab. In mode 2 the profit-maximising</t>
  </si>
  <si>
    <t xml:space="preserve">   output falls exactly on 21 tons/acre, and minimum ATC at 16.1 tons/acre sits below it - which is what you want: a competitive farm produces past minimum ATC.</t>
  </si>
  <si>
    <t>4. CHOOSING THE CURVATURE. Mode 1 leaves only 15% of variable cost in the quadratic term, so the plotted curve is nearly straight - which quietly argues that marginal cost</t>
  </si>
  <si>
    <t xml:space="preserve">   is constant, the opposite of the lesson - and MC meets price near 1,830 tons, i.e. 46 tons/acre, off the map. Mode 2 pins MC to the net price at the benchmark: 46%</t>
  </si>
  <si>
    <t xml:space="preserve">   curvature, and 21 tons/acre becomes exactly the profit-maximising output. Mode 3, the default, lets you set b directly; at b = 0.2 curvature reaches 62%. FOR THE</t>
  </si>
  <si>
    <t xml:space="preserve">   RECORD, the original slide reached 85% of variable cost in its quadratic term, not the 44% quoted in an earlier draft of this note - that figure was measured against</t>
  </si>
  <si>
    <t xml:space="preserve">   TOTAL cost and was wrong either way. The original managed 85% only by leaving harvest &amp; packing out of variable cost entirely; with harvest inside, reaching 85% needs</t>
  </si>
  <si>
    <t xml:space="preserve">   b near 0.3, at which point 'a' falls to about $53 per ton - far below harvest cost per ton alone. Every mode above b = 0.0429 assumes harvest also gets dearer per ton</t>
  </si>
  <si>
    <t xml:space="preserve">   in a dense field (crews slow down, more passes) rather than staying flat. Defensible, but say so if a student asks.</t>
  </si>
  <si>
    <t>5. PRESENTATION ROUNDING. The slide uses TFC = $60,000 and a = $135 rather than the calibrated $59,620 and $136.86, which makes every figure in the cost table a clean</t>
  </si>
  <si>
    <t xml:space="preserve">   multiple of $500. The cost: fixed cost is overstated by $380 (+0.64%) and variable cost at the benchmark understated by $1,560 (-0.61%), so total cost at 840 tons is</t>
  </si>
  <si>
    <t xml:space="preserve">   $1,180 light, 0.37%. Profit per acre lands at $1,076.70 - as it happens, closer to the $1,103 UF/IFAS report than the unrounded version was. Set B61 to 0 to switch the</t>
  </si>
  <si>
    <t xml:space="preserve">   rounding off, or use the b in B73 (0.2022) if you would rather keep a = 135 and restore the sourced variable cost to the cent.</t>
  </si>
  <si>
    <t>6. CALIBRATION PRICE vs SCENARIO PRICE. B40 anchors the SHAPE of the cost curve in mode 2 and should stay fixed. B77 is the scenario price - change it freely and watch</t>
  </si>
  <si>
    <t xml:space="preserve">   the profit-maximising output in B84 move. If you changed B40 instead, the cost curve would re-fit and output would never budge: the classic circularity trap.</t>
  </si>
  <si>
    <t>CABBAGE PRODUCTION COSTS</t>
  </si>
  <si>
    <t>Yi Family Example  -  quantity in tons</t>
  </si>
  <si>
    <t>Copy A5:D17 into PowerPoint to replace the table image on the slide.</t>
  </si>
  <si>
    <t>Q</t>
  </si>
  <si>
    <t>TC</t>
  </si>
  <si>
    <t>TFC</t>
  </si>
  <si>
    <t>TVC</t>
  </si>
  <si>
    <t>Q = tons of cabbage per season.  TC = total cost.  TFC = total fixed cost.  TVC = total variable cost.  All dollars per season.</t>
  </si>
  <si>
    <t>Fixed: land rent, equipment, opportunity cost of the family's labor.   Variable: seeds, water, fertilizer, pesticides, harvest &amp; packing.</t>
  </si>
  <si>
    <t>Sources: UF/IFAS NE Florida cabbage budget (Aug 2025); BLS OOH May 2024 (opportunity cost); USDA NASS Vegetables 2025 &amp; Cash Rents 2025; UC ANR Ventura 2012/13. Full detail on the Sources tab.</t>
  </si>
  <si>
    <t>PER-UNIT COSTS</t>
  </si>
  <si>
    <t>Derived from the Cost Table. Nothing to edit here.</t>
  </si>
  <si>
    <t>Q (tons)</t>
  </si>
  <si>
    <t>AFC ($/ton)</t>
  </si>
  <si>
    <t>AVC ($/ton)</t>
  </si>
  <si>
    <t>ATC ($/ton)</t>
  </si>
  <si>
    <t>MC ($/ton, smooth)</t>
  </si>
  <si>
    <t>MC ($/ton, discrete)</t>
  </si>
  <si>
    <t>n/a</t>
  </si>
  <si>
    <t>AFC = TFC/Q.  AVC = TVC/Q.  ATC = TC/Q.  Smooth MC = a + 2bQ (the derivative of TVC).  Discrete MC = change in TC divided by change in Q between rows.</t>
  </si>
  <si>
    <t>The two MC columns differ because the Q steps are wide; the discrete version is the average marginal cost across each interval.</t>
  </si>
  <si>
    <t>ATC bottoms out at about $369 per ton near 644 tons (16.1 t/acre), where the MC curve crosses it. MC then keeps rising and meets the $425.70 net price at 840 tons - the profit-maximising output. Rows below 300 tons are omitted from the chart only, because AFC is so large there that ATC swamps the other curves; the full range is in the table at left.</t>
  </si>
  <si>
    <t>CURRENT MARKET PRICES</t>
  </si>
  <si>
    <t>USDA AMS National FOB Review, 18 August 2026. These are GROWER-LEVEL FOB quotes - what the farm actually receives.</t>
  </si>
  <si>
    <t>Paste any figure from the '$/ton' columns into cell B38 on the Assumptions tab to re-run the whole model against that price.</t>
  </si>
  <si>
    <t>The break-even price. Anything above this earns a profit.</t>
  </si>
  <si>
    <t>Broker fee deducted from F.O.B.</t>
  </si>
  <si>
    <t>From the Assumptions tab.</t>
  </si>
  <si>
    <t>Used to convert profit per ton into profit per acre.</t>
  </si>
  <si>
    <t>Origin</t>
  </si>
  <si>
    <t>Variety / pack</t>
  </si>
  <si>
    <t>Pack (lb)</t>
  </si>
  <si>
    <t>FOB low ($/pkg)</t>
  </si>
  <si>
    <t>FOB high ($/pkg)</t>
  </si>
  <si>
    <t>FOB low ($/ton)</t>
  </si>
  <si>
    <t>FOB high ($/ton)</t>
  </si>
  <si>
    <t>Net low ($/ton)</t>
  </si>
  <si>
    <t>Net high ($/ton)</t>
  </si>
  <si>
    <t>Profit/acre at low</t>
  </si>
  <si>
    <t>Profit/acre at high</t>
  </si>
  <si>
    <t>Profitable at the low end?</t>
  </si>
  <si>
    <t>Central Coast California</t>
  </si>
  <si>
    <t>Round green, cartons</t>
  </si>
  <si>
    <t>Red, cartons</t>
  </si>
  <si>
    <t>Mexico crossings via Texas</t>
  </si>
  <si>
    <t>Round green, sacks</t>
  </si>
  <si>
    <t>Michigan</t>
  </si>
  <si>
    <t>Round green, crates &amp; cartons</t>
  </si>
  <si>
    <t>New York</t>
  </si>
  <si>
    <t>South &amp; Central California</t>
  </si>
  <si>
    <t>Round green, ORGANIC, cartons</t>
  </si>
  <si>
    <t>Red, ORGANIC, cartons</t>
  </si>
  <si>
    <t>UF/IFAS budget figure (Aug 2025)</t>
  </si>
  <si>
    <t>Round green, boxes</t>
  </si>
  <si>
    <t>WHOLESALE TERMINAL PRICE  -  DO NOT USE AS FARM REVENUE</t>
  </si>
  <si>
    <t>Los Angeles terminal market, 18 August 2026, Central Coast round green, 50-lb cartons: $19.00-20.00 per carton, i.e. $760-$800 per ton. That is what a Los Angeles</t>
  </si>
  <si>
    <t>BUYER pays. It includes freight, cooling and the wholesaler's margin, none of which reaches the grower. Using it as the farm's price roughly doubles apparent revenue.</t>
  </si>
  <si>
    <t>SEASONAL NOTE</t>
  </si>
  <si>
    <t>Florida is absent from the August FOB review because cabbage there is a winter and spring crop. The cost side of this model is a Florida budget, so a student checking</t>
  </si>
  <si>
    <t>the price against a Florida source in August will find nothing. Central Coast California is the relevant origin at this time of year.</t>
  </si>
  <si>
    <t>TEACHING NOTE FOR THE PRICE-TAKER SLIDE</t>
  </si>
  <si>
    <t>Same cabbage, same week, same cost structure - and the farm-gate price ranges from $280 per ton in New York to over $1,100 per ton for organic California. A price taker</t>
  </si>
  <si>
    <t>influences none of it. The 'Profitable at the low end?' column shows which origins clear this farm's break-even cost of about $376 per ton.</t>
  </si>
  <si>
    <t>TOTAL COST FUNCTION</t>
  </si>
  <si>
    <t>The dotted line is the fitted quadratic. The markers are the Cost Table values with a small deviation applied, so they read as observations scattered around a fitted</t>
  </si>
  <si>
    <t>curve rather than as a perfect formula. THE COST TABLE ITSELF STAYS EXACT - the noise lives only in column G on this sheet and affects nothing but the chart.</t>
  </si>
  <si>
    <t>For comparison, the original slide used TC = 30,000 + 40Q + 0.2Q² and did the same thing: an exact table, with visibly scattered points on the chart.</t>
  </si>
  <si>
    <t>Fitted TC ($)</t>
  </si>
  <si>
    <t>Noise scale</t>
  </si>
  <si>
    <t>Set to 0 to plot the exact quadratic; 2 to double the scatter.</t>
  </si>
  <si>
    <t>Exact TC ($)</t>
  </si>
  <si>
    <t>Deviation</t>
  </si>
  <si>
    <t>Plotted TC ($)</t>
  </si>
  <si>
    <t>Deviations average 1.9% and never exceed 3.5%. They are chosen so plotted cost still rises at every step:</t>
  </si>
  <si>
    <t>a dip would imply negative marginal cost. Worth knowing - the chart on the original slide DID dip, with the 100-ton</t>
  </si>
  <si>
    <t>point plotted below the 50-ton point. A sharp student could have caught it.</t>
  </si>
  <si>
    <t>READING THE CURVE</t>
  </si>
  <si>
    <t>The intercept is TFC: at Q = 0 the farm still owes land rent, equipment costs and the family's foregone earnings.</t>
  </si>
  <si>
    <t>The curve steepens as Q rises because the plot is fixed - each extra ton takes disproportionately more seed, water and spray. That rising slope IS marginal cost.</t>
  </si>
  <si>
    <t>Under the default calibration (mode 3, b = 0.2) the quadratic term carries about 62% of variable cost at Q = 1,100. The original slide reached 85%, which it managed only by leaving harvest &amp; packing out of variable cost altogether.</t>
  </si>
  <si>
    <t>Raise b in cell B39 on the Assumptions tab for a more pronounced bend; switch B32 to 1 and the curve flattens to nearly a straight line.</t>
  </si>
  <si>
    <t>SOURCES</t>
  </si>
  <si>
    <t>Retrieved 19 August 2026.</t>
  </si>
  <si>
    <t>Published</t>
  </si>
  <si>
    <t>What it supplies</t>
  </si>
  <si>
    <t>URL</t>
  </si>
  <si>
    <t>UF/IFAS, Sample Costs and Returns for Producing Cabbage in Northeast Florida</t>
  </si>
  <si>
    <t>August 2025</t>
  </si>
  <si>
    <t>Primary calibration: yield 21 tons/acre; seed $587, fertilizer $479, pesticides $361, machinery $336 and vehicle $34 ownership, land rent $221, harvest &amp; packing $4,805 - all per acre; price $11.83 per 50-lb box</t>
  </si>
  <si>
    <t>https://svaec.ifas.ufl.edu/media/svaecifasufledu/docs/pdf/agribusiness/CabbageBudgetReport_2025-August.pdf</t>
  </si>
  <si>
    <t>UC ANR / UC Cooperative Extension, Sample Costs to Produce Cabbage, Ventura County</t>
  </si>
  <si>
    <t>2012/13</t>
  </si>
  <si>
    <t>The slide's original source. Supplies the irrigation water figure (12 acre-inches at $14.17 per acre-inch = $170/acre) and the historical Ventura land rent of $933/acre</t>
  </si>
  <si>
    <t>https://ucanr.edu/sites/Farm_Management/files/179212.pdf</t>
  </si>
  <si>
    <t>USDA NASS, Land Values and Cash Rents 2025 Summary</t>
  </si>
  <si>
    <t>Cash rent benchmarks: US irrigated cropland $244/acre; California $483/acre</t>
  </si>
  <si>
    <t>https://www.nass.usda.gov/Publications/Highlights/2025/2025LandValuesCashRents_FINAL.pdf</t>
  </si>
  <si>
    <t>UC Merced Water Systems Management Lab, Understanding Water Rates in California Irrigation Districts</t>
  </si>
  <si>
    <t>December 2025 (data 2006-2024)</t>
  </si>
  <si>
    <t>Agricultural water rates by region: Sacramento Valley $43/AF, San Joaquin Valley $76/AF, Tulare Lake Basin $112/AF; statewide range $0-$1,000/AF</t>
  </si>
  <si>
    <t>https://wsm.ucmerced.edu/wp-content/uploads/2025/12/understanding_water_rate.pdf</t>
  </si>
  <si>
    <t>US Bureau of Labor Statistics, Occupational Outlook Handbook: Agricultural Workers</t>
  </si>
  <si>
    <t>May 2024 wage data</t>
  </si>
  <si>
    <t>THE OPPORTUNITY COST USED IN THIS MODEL: median annual wage $35,980 ($17.30/hour); farmworkers and labourers, crop/nursery/greenhouse $35,690; agricultural equipment operators $42,580</t>
  </si>
  <si>
    <t>https://www.bls.gov/ooh/farming-fishing-and-forestry/agricultural-workers.htm</t>
  </si>
  <si>
    <t>US Bureau of Labor Statistics, Occupational Outlook Handbook: Farmers, Ranchers, and Other Agricultural Managers</t>
  </si>
  <si>
    <t>Rejected alternative opportunity-cost benchmark: median annual wage $87,980, lowest 10% under $51,700. At $87,980 the farm loses $253/acre at benchmark yield</t>
  </si>
  <si>
    <t>https://www.bls.gov/ooh/management/farmers-ranchers-and-other-agricultural-managers.htm</t>
  </si>
  <si>
    <t>USDA AMS Specialty Crops Market News, National FOB Review</t>
  </si>
  <si>
    <t>18 August 2026</t>
  </si>
  <si>
    <t>CURRENT grower-level prices on the Current Prices tab. Central Coast CA round green $10.45-15.00 per 45-lb carton; Michigan $10-12 per 50-lb carton; New York $7-9; Mexico via Texas $14-16; organic S/Central CA $18-26</t>
  </si>
  <si>
    <t>https://www.ams.usda.gov/mnreports/fvdfob.pdf</t>
  </si>
  <si>
    <t>USDA AMS, Los Angeles Terminal Market Vegetables Prices</t>
  </si>
  <si>
    <t>Wholesale cross-check, flagged as NOT farm revenue: round green 50-lb cartons $19-20 ($760-800/ton), red $20-21, savoy $30-31</t>
  </si>
  <si>
    <t>https://www.ams.usda.gov/mnreports/hc_fv020.pdf</t>
  </si>
  <si>
    <t>USDA NASS, Vegetables 2025 Summary</t>
  </si>
  <si>
    <t>February 2026</t>
  </si>
  <si>
    <t>Plausibility checks on yield and price. Fresh-market cabbage yields: US 444.4 cwt/acre (22.2 tons), California 455.0 (22.8), Florida 435.0 (21.8), Wisconsin 640.0 (32.0), Texas 260.0 (13.0). Season-average prices: US $24.40/cwt ($488/ton), Florida $21.40/cwt ($428/ton)</t>
  </si>
  <si>
    <t>https://esmis.nal.usda.gov/sites/default/release-files/795772/vegean26.pdf</t>
  </si>
  <si>
    <t>FIFTH SLIDE IMAGE - HARVEST &amp; PACKING</t>
  </si>
  <si>
    <t>The slide needs a fifth photo to match the fifth variable row. Licence-clear places to find one, in order of least friction:</t>
  </si>
  <si>
    <t>1. USDA ARS Image Gallery - https://www.ars.usda.gov/oc/images/photos/  Search 'cabbage harvest'. Images are public domain unless marked otherwise. Requested credit:</t>
  </si>
  <si>
    <t xml:space="preserve">   'Photo courtesy of USDA Agricultural Research Service.' One restriction: the photo must not be used to imply ARS endorsement of any product, company or position.</t>
  </si>
  <si>
    <t>2. USDA on Flickr - https://www.flickr.com/photos/usdagov/  Works by federal employees are generally public domain; check the licence shown on the individual photo page.</t>
  </si>
  <si>
    <t>3. Wikimedia Commons - https://commons.wikimedia.org/wiki/Category:Cabbage_fields and Category:Agricultural_workers. Licences vary file by file, so check each one; many need</t>
  </si>
  <si>
    <t xml:space="preserve">   attribution to the photographer under CC BY-SA.</t>
  </si>
  <si>
    <t>The three existing photos on the slide look like commercial stock, so if you already have a stock subscription, searching it for 'cabbage harvest crew' or 'vegetable</t>
  </si>
  <si>
    <t>packing line' will give the closest visual match to the current set.</t>
  </si>
  <si>
    <t>NOT USED</t>
  </si>
  <si>
    <t>Michigan Cabbage Cost of Production 2024 (MSU Extension) is a relevant recent budget but its server blocked automated retrieval. If you want a Midwest comparison, that report is the one to pull manually:</t>
  </si>
  <si>
    <t>https://www.canr.msu.edu/resources/michigan-cabbage-cost-of-production-2024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</si>
</sst>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quot;#,##0\);\-"/>
    <numFmt numFmtId="165" formatCode="\$#,##0.00;&quot;($&quot;#,##0.00\);\-"/>
    <numFmt numFmtId="166" formatCode="0.0000"/>
    <numFmt numFmtId="167" formatCode="0.0%"/>
    <numFmt numFmtId="168" formatCode="0.0"/>
  </numFmts>
  <fonts count="19" x14ac:knownFonts="1">
    <font>
      <sz val="11"/>
      <color theme="1"/>
      <name val="Calibri"/>
      <family val="2"/>
      <charset val="1"/>
    </font>
    <font>
      <sz val="10"/>
      <name val="Arial"/>
      <family val="2"/>
    </font>
    <font>
      <b/>
      <sz val="14"/>
      <color rgb="FF1F3864"/>
      <name val="Arial"/>
      <family val="2"/>
    </font>
    <font>
      <i/>
      <sz val="10"/>
      <color rgb="FF595959"/>
      <name val="Arial"/>
      <family val="2"/>
    </font>
    <font>
      <b/>
      <sz val="10"/>
      <color rgb="FFC00000"/>
      <name val="Arial"/>
      <family val="2"/>
    </font>
    <font>
      <b/>
      <sz val="10"/>
      <color rgb="FFFFFFFF"/>
      <name val="Arial"/>
      <family val="2"/>
    </font>
    <font>
      <sz val="10"/>
      <color rgb="FF000000"/>
      <name val="Arial"/>
      <family val="2"/>
    </font>
    <font>
      <b/>
      <sz val="10"/>
      <color rgb="FF0000FF"/>
      <name val="Arial"/>
      <family val="2"/>
    </font>
    <font>
      <i/>
      <sz val="9"/>
      <color rgb="FF595959"/>
      <name val="Arial"/>
      <family val="2"/>
    </font>
    <font>
      <b/>
      <sz val="10"/>
      <color rgb="FF000000"/>
      <name val="Arial"/>
      <family val="2"/>
    </font>
    <font>
      <i/>
      <sz val="9"/>
      <color rgb="FFC00000"/>
      <name val="Arial"/>
      <family val="2"/>
    </font>
    <font>
      <sz val="9"/>
      <color rgb="FF595959"/>
      <name val="Arial"/>
      <family val="2"/>
    </font>
    <font>
      <sz val="9"/>
      <color rgb="FF000000"/>
      <name val="Arial"/>
      <family val="2"/>
    </font>
    <font>
      <b/>
      <sz val="11"/>
      <color rgb="FF000000"/>
      <name val="Arial"/>
      <family val="2"/>
    </font>
    <font>
      <b/>
      <sz val="11"/>
      <color rgb="FF0000FF"/>
      <name val="Arial"/>
      <family val="2"/>
    </font>
    <font>
      <sz val="11"/>
      <color rgb="FF000000"/>
      <name val="Arial"/>
      <family val="2"/>
    </font>
    <font>
      <b/>
      <sz val="12"/>
      <color rgb="FF1F3864"/>
      <name val="Arial"/>
      <family val="2"/>
    </font>
    <font>
      <sz val="9"/>
      <color rgb="FF0000FF"/>
      <name val="Arial"/>
      <family val="2"/>
    </font>
    <font>
      <u/>
      <sz val="9"/>
      <color rgb="FF0563C1"/>
      <name val="Arial"/>
      <family val="2"/>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DEEAF6"/>
        <bgColor rgb="FFD9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0">
    <xf numFmtId="0" fontId="0" fillId="0" borderId="0" xfId="0"/>
    <xf numFmtId="0" fontId="2" fillId="0" borderId="0" xfId="0" applyFont="1"/>
    <xf numFmtId="0" fontId="3" fillId="0" borderId="0" xfId="0" applyFont="1"/>
    <xf numFmtId="0" fontId="4" fillId="0" borderId="0" xfId="0" applyFont="1"/>
    <xf numFmtId="0" fontId="5" fillId="2" borderId="0" xfId="0" applyFont="1" applyFill="1"/>
    <xf numFmtId="0" fontId="6" fillId="0" borderId="0" xfId="0" applyFont="1"/>
    <xf numFmtId="3" fontId="7" fillId="3" borderId="1" xfId="0" applyNumberFormat="1" applyFont="1" applyFill="1" applyBorder="1"/>
    <xf numFmtId="0" fontId="8" fillId="0" borderId="0" xfId="0" applyFont="1"/>
    <xf numFmtId="0" fontId="9" fillId="0" borderId="0" xfId="0" applyFont="1"/>
    <xf numFmtId="3" fontId="9" fillId="0" borderId="1" xfId="0" applyNumberFormat="1" applyFont="1" applyBorder="1"/>
    <xf numFmtId="164" fontId="7" fillId="3" borderId="1" xfId="0" applyNumberFormat="1" applyFont="1" applyFill="1" applyBorder="1"/>
    <xf numFmtId="164" fontId="9" fillId="0" borderId="1" xfId="0" applyNumberFormat="1" applyFont="1" applyBorder="1"/>
    <xf numFmtId="0" fontId="9" fillId="4" borderId="1" xfId="0" applyFont="1" applyFill="1" applyBorder="1"/>
    <xf numFmtId="165" fontId="6" fillId="0" borderId="1" xfId="0" applyNumberFormat="1" applyFont="1" applyBorder="1"/>
    <xf numFmtId="165" fontId="9" fillId="0" borderId="1" xfId="0" applyNumberFormat="1" applyFont="1" applyBorder="1"/>
    <xf numFmtId="165" fontId="7" fillId="3" borderId="1" xfId="0" applyNumberFormat="1" applyFont="1" applyFill="1" applyBorder="1"/>
    <xf numFmtId="166" fontId="7" fillId="3" borderId="1" xfId="0" applyNumberFormat="1" applyFont="1" applyFill="1" applyBorder="1"/>
    <xf numFmtId="0" fontId="10" fillId="0" borderId="0" xfId="0" applyFont="1"/>
    <xf numFmtId="166" fontId="6" fillId="0" borderId="1" xfId="0" applyNumberFormat="1" applyFont="1" applyBorder="1"/>
    <xf numFmtId="166" fontId="9" fillId="0" borderId="1" xfId="0" applyNumberFormat="1" applyFont="1" applyBorder="1"/>
    <xf numFmtId="164" fontId="6" fillId="0" borderId="1" xfId="0" applyNumberFormat="1" applyFont="1" applyBorder="1"/>
    <xf numFmtId="167" fontId="6" fillId="0" borderId="1" xfId="0" applyNumberFormat="1" applyFont="1" applyBorder="1"/>
    <xf numFmtId="3" fontId="6" fillId="0" borderId="1" xfId="0" applyNumberFormat="1" applyFont="1" applyBorder="1"/>
    <xf numFmtId="168" fontId="6" fillId="0" borderId="1" xfId="0" applyNumberFormat="1" applyFont="1" applyBorder="1"/>
    <xf numFmtId="10" fontId="6" fillId="0" borderId="1" xfId="0" applyNumberFormat="1" applyFont="1" applyBorder="1"/>
    <xf numFmtId="167" fontId="7" fillId="3" borderId="1" xfId="0" applyNumberFormat="1" applyFont="1" applyFill="1" applyBorder="1"/>
    <xf numFmtId="0" fontId="11" fillId="0" borderId="0" xfId="0" applyFont="1"/>
    <xf numFmtId="0" fontId="12" fillId="0" borderId="0" xfId="0" applyFont="1"/>
    <xf numFmtId="0" fontId="13" fillId="4" borderId="1" xfId="0" applyFont="1" applyFill="1" applyBorder="1" applyAlignment="1">
      <alignment horizontal="center"/>
    </xf>
    <xf numFmtId="3" fontId="14" fillId="0" borderId="1" xfId="0" applyNumberFormat="1" applyFont="1" applyBorder="1"/>
    <xf numFmtId="3" fontId="15" fillId="0" borderId="1" xfId="0" applyNumberFormat="1" applyFont="1" applyBorder="1"/>
    <xf numFmtId="0" fontId="9" fillId="4" borderId="1" xfId="0" applyFont="1" applyFill="1" applyBorder="1" applyAlignment="1">
      <alignment horizontal="center" wrapText="1"/>
    </xf>
    <xf numFmtId="3" fontId="6" fillId="0" borderId="1" xfId="0" applyNumberFormat="1" applyFont="1" applyBorder="1" applyAlignment="1">
      <alignment horizontal="right"/>
    </xf>
    <xf numFmtId="165" fontId="6" fillId="0" borderId="1" xfId="0" applyNumberFormat="1" applyFont="1" applyBorder="1" applyAlignment="1">
      <alignment horizontal="right"/>
    </xf>
    <xf numFmtId="0" fontId="5" fillId="2" borderId="1" xfId="0" applyFont="1" applyFill="1" applyBorder="1" applyAlignment="1">
      <alignment horizontal="center" vertical="center" wrapText="1"/>
    </xf>
    <xf numFmtId="0" fontId="6" fillId="0" borderId="1" xfId="0" applyFont="1" applyBorder="1"/>
    <xf numFmtId="3" fontId="7" fillId="0" borderId="1" xfId="0" applyNumberFormat="1" applyFont="1" applyBorder="1"/>
    <xf numFmtId="165" fontId="7" fillId="0" borderId="1" xfId="0" applyNumberFormat="1" applyFont="1" applyBorder="1"/>
    <xf numFmtId="0" fontId="6" fillId="0" borderId="1" xfId="0" applyFont="1" applyBorder="1" applyAlignment="1">
      <alignment horizontal="center"/>
    </xf>
    <xf numFmtId="0" fontId="16" fillId="0" borderId="0" xfId="0" applyFont="1"/>
    <xf numFmtId="2" fontId="7" fillId="3" borderId="1" xfId="0" applyNumberFormat="1" applyFont="1" applyFill="1" applyBorder="1"/>
    <xf numFmtId="3" fontId="12" fillId="0" borderId="0" xfId="0" applyNumberFormat="1" applyFont="1"/>
    <xf numFmtId="0" fontId="9" fillId="4" borderId="1" xfId="0" applyFont="1" applyFill="1" applyBorder="1" applyAlignment="1">
      <alignment horizontal="center"/>
    </xf>
    <xf numFmtId="3" fontId="12" fillId="0" borderId="1" xfId="0" applyNumberFormat="1" applyFont="1" applyBorder="1"/>
    <xf numFmtId="10" fontId="17" fillId="3" borderId="1" xfId="0" applyNumberFormat="1" applyFont="1" applyFill="1" applyBorder="1"/>
    <xf numFmtId="0" fontId="5" fillId="2" borderId="1" xfId="0" applyFont="1" applyFill="1" applyBorder="1"/>
    <xf numFmtId="0" fontId="9" fillId="0" borderId="1" xfId="0" applyFont="1" applyBorder="1" applyAlignment="1">
      <alignment vertical="top" wrapText="1"/>
    </xf>
    <xf numFmtId="0" fontId="6" fillId="0" borderId="1" xfId="0" applyFont="1" applyBorder="1" applyAlignment="1">
      <alignment vertical="top" wrapText="1"/>
    </xf>
    <xf numFmtId="0" fontId="18" fillId="0" borderId="1" xfId="0" applyFont="1" applyBorder="1" applyAlignment="1">
      <alignment vertical="top" wrapText="1"/>
    </xf>
    <xf numFmtId="0" fontId="18"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DEEAF6"/>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A78D6"/>
      <rgbColor rgb="FF33CCCC"/>
      <rgbColor rgb="FF99CC00"/>
      <rgbColor rgb="FFFFCC00"/>
      <rgbColor rgb="FFFF9900"/>
      <rgbColor rgb="FFEB6834"/>
      <rgbColor rgb="FF595959"/>
      <rgbColor rgb="FF969696"/>
      <rgbColor rgb="FF1F3864"/>
      <rgbColor rgb="FF1BAF7A"/>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Cabbage cost curves (output of 300 tons and above)</a:t>
            </a:r>
          </a:p>
        </c:rich>
      </c:tx>
      <c:overlay val="0"/>
      <c:spPr>
        <a:noFill/>
        <a:ln w="0">
          <a:noFill/>
        </a:ln>
      </c:spPr>
    </c:title>
    <c:autoTitleDeleted val="0"/>
    <c:plotArea>
      <c:layout/>
      <c:lineChart>
        <c:grouping val="standard"/>
        <c:varyColors val="0"/>
        <c:ser>
          <c:idx val="0"/>
          <c:order val="0"/>
          <c:tx>
            <c:v>AVC ($/ton)</c:v>
          </c:tx>
          <c:spPr>
            <a:ln w="24840">
              <a:solidFill>
                <a:srgbClr val="2A78D6"/>
              </a:solidFill>
              <a:round/>
            </a:ln>
          </c:spPr>
          <c:marker>
            <c:symbol val="circle"/>
            <c:size val="7"/>
            <c:spPr>
              <a:solidFill>
                <a:srgbClr val="2A78D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'Per-Unit Costs'!$A$8:$A$16</c:f>
              <c:numCache>
                <c:formatCode>#,##0</c:formatCode>
                <c:ptCount val="9"/>
                <c:pt idx="0">
                  <c:v>300</c:v>
                </c:pt>
                <c:pt idx="1">
                  <c:v>400</c:v>
                </c:pt>
                <c:pt idx="2">
                  <c:v>500</c:v>
                </c:pt>
                <c:pt idx="3">
                  <c:v>600</c:v>
                </c:pt>
                <c:pt idx="4">
                  <c:v>700</c:v>
                </c:pt>
                <c:pt idx="5">
                  <c:v>800</c:v>
                </c:pt>
                <c:pt idx="6">
                  <c:v>900</c:v>
                </c:pt>
                <c:pt idx="7">
                  <c:v>1000</c:v>
                </c:pt>
                <c:pt idx="8">
                  <c:v>1100</c:v>
                </c:pt>
              </c:numCache>
            </c:numRef>
          </c:cat>
          <c:val>
            <c:numRef>
              <c:f>'Per-Unit Costs'!$C$8:$C$16</c:f>
              <c:numCache>
                <c:formatCode>\$#,##0.00;"($"#,##0.00\);\-</c:formatCode>
                <c:ptCount val="9"/>
                <c:pt idx="0">
                  <c:v>195</c:v>
                </c:pt>
                <c:pt idx="1">
                  <c:v>215</c:v>
                </c:pt>
                <c:pt idx="2">
                  <c:v>235</c:v>
                </c:pt>
                <c:pt idx="3">
                  <c:v>255</c:v>
                </c:pt>
                <c:pt idx="4">
                  <c:v>275</c:v>
                </c:pt>
                <c:pt idx="5">
                  <c:v>295</c:v>
                </c:pt>
                <c:pt idx="6">
                  <c:v>315</c:v>
                </c:pt>
                <c:pt idx="7">
                  <c:v>335</c:v>
                </c:pt>
                <c:pt idx="8">
                  <c:v>355</c:v>
                </c:pt>
              </c:numCache>
            </c:numRef>
          </c:val>
          <c:smooth val="0"/>
          <c:extLst>
            <c:ext xmlns:c16="http://schemas.microsoft.com/office/drawing/2014/chart" uri="{C3380CC4-5D6E-409C-BE32-E72D297353CC}">
              <c16:uniqueId val="{00000000-3B2F-FC43-B572-AD6CCA3F7EDF}"/>
            </c:ext>
          </c:extLst>
        </c:ser>
        <c:ser>
          <c:idx val="1"/>
          <c:order val="1"/>
          <c:tx>
            <c:v>ATC ($/ton)</c:v>
          </c:tx>
          <c:spPr>
            <a:ln w="24840">
              <a:solidFill>
                <a:srgbClr val="EB6834"/>
              </a:solidFill>
              <a:round/>
            </a:ln>
          </c:spPr>
          <c:marker>
            <c:symbol val="circle"/>
            <c:size val="7"/>
            <c:spPr>
              <a:solidFill>
                <a:srgbClr val="EB6834"/>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'Per-Unit Costs'!$A$8:$A$16</c:f>
              <c:numCache>
                <c:formatCode>#,##0</c:formatCode>
                <c:ptCount val="9"/>
                <c:pt idx="0">
                  <c:v>300</c:v>
                </c:pt>
                <c:pt idx="1">
                  <c:v>400</c:v>
                </c:pt>
                <c:pt idx="2">
                  <c:v>500</c:v>
                </c:pt>
                <c:pt idx="3">
                  <c:v>600</c:v>
                </c:pt>
                <c:pt idx="4">
                  <c:v>700</c:v>
                </c:pt>
                <c:pt idx="5">
                  <c:v>800</c:v>
                </c:pt>
                <c:pt idx="6">
                  <c:v>900</c:v>
                </c:pt>
                <c:pt idx="7">
                  <c:v>1000</c:v>
                </c:pt>
                <c:pt idx="8">
                  <c:v>1100</c:v>
                </c:pt>
              </c:numCache>
            </c:numRef>
          </c:cat>
          <c:val>
            <c:numRef>
              <c:f>'Per-Unit Costs'!$D$8:$D$16</c:f>
              <c:numCache>
                <c:formatCode>\$#,##0.00;"($"#,##0.00\);\-</c:formatCode>
                <c:ptCount val="9"/>
                <c:pt idx="0">
                  <c:v>395</c:v>
                </c:pt>
                <c:pt idx="1">
                  <c:v>365</c:v>
                </c:pt>
                <c:pt idx="2">
                  <c:v>355</c:v>
                </c:pt>
                <c:pt idx="3">
                  <c:v>355</c:v>
                </c:pt>
                <c:pt idx="4">
                  <c:v>360.71428571428572</c:v>
                </c:pt>
                <c:pt idx="5">
                  <c:v>370</c:v>
                </c:pt>
                <c:pt idx="6">
                  <c:v>381.66666666666669</c:v>
                </c:pt>
                <c:pt idx="7">
                  <c:v>395</c:v>
                </c:pt>
                <c:pt idx="8">
                  <c:v>409.54545454545456</c:v>
                </c:pt>
              </c:numCache>
            </c:numRef>
          </c:val>
          <c:smooth val="0"/>
          <c:extLst>
            <c:ext xmlns:c16="http://schemas.microsoft.com/office/drawing/2014/chart" uri="{C3380CC4-5D6E-409C-BE32-E72D297353CC}">
              <c16:uniqueId val="{00000001-3B2F-FC43-B572-AD6CCA3F7EDF}"/>
            </c:ext>
          </c:extLst>
        </c:ser>
        <c:ser>
          <c:idx val="2"/>
          <c:order val="2"/>
          <c:tx>
            <c:v>MC ($/ton)</c:v>
          </c:tx>
          <c:spPr>
            <a:ln w="24840">
              <a:solidFill>
                <a:srgbClr val="1BAF7A"/>
              </a:solidFill>
              <a:round/>
            </a:ln>
          </c:spPr>
          <c:marker>
            <c:symbol val="circle"/>
            <c:size val="7"/>
            <c:spPr>
              <a:solidFill>
                <a:srgbClr val="1BAF7A"/>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'Per-Unit Costs'!$A$8:$A$16</c:f>
              <c:numCache>
                <c:formatCode>#,##0</c:formatCode>
                <c:ptCount val="9"/>
                <c:pt idx="0">
                  <c:v>300</c:v>
                </c:pt>
                <c:pt idx="1">
                  <c:v>400</c:v>
                </c:pt>
                <c:pt idx="2">
                  <c:v>500</c:v>
                </c:pt>
                <c:pt idx="3">
                  <c:v>600</c:v>
                </c:pt>
                <c:pt idx="4">
                  <c:v>700</c:v>
                </c:pt>
                <c:pt idx="5">
                  <c:v>800</c:v>
                </c:pt>
                <c:pt idx="6">
                  <c:v>900</c:v>
                </c:pt>
                <c:pt idx="7">
                  <c:v>1000</c:v>
                </c:pt>
                <c:pt idx="8">
                  <c:v>1100</c:v>
                </c:pt>
              </c:numCache>
            </c:numRef>
          </c:cat>
          <c:val>
            <c:numRef>
              <c:f>'Per-Unit Costs'!$E$8:$E$16</c:f>
              <c:numCache>
                <c:formatCode>\$#,##0.00;"($"#,##0.00\);\-</c:formatCode>
                <c:ptCount val="9"/>
                <c:pt idx="0">
                  <c:v>255</c:v>
                </c:pt>
                <c:pt idx="1">
                  <c:v>295</c:v>
                </c:pt>
                <c:pt idx="2">
                  <c:v>335</c:v>
                </c:pt>
                <c:pt idx="3">
                  <c:v>375</c:v>
                </c:pt>
                <c:pt idx="4">
                  <c:v>415</c:v>
                </c:pt>
                <c:pt idx="5">
                  <c:v>455</c:v>
                </c:pt>
                <c:pt idx="6">
                  <c:v>495</c:v>
                </c:pt>
                <c:pt idx="7">
                  <c:v>535</c:v>
                </c:pt>
                <c:pt idx="8">
                  <c:v>575</c:v>
                </c:pt>
              </c:numCache>
            </c:numRef>
          </c:val>
          <c:smooth val="0"/>
          <c:extLst>
            <c:ext xmlns:c16="http://schemas.microsoft.com/office/drawing/2014/chart" uri="{C3380CC4-5D6E-409C-BE32-E72D297353CC}">
              <c16:uniqueId val="{00000002-3B2F-FC43-B572-AD6CCA3F7EDF}"/>
            </c:ext>
          </c:extLst>
        </c:ser>
        <c:dLbls>
          <c:showLegendKey val="0"/>
          <c:showVal val="0"/>
          <c:showCatName val="0"/>
          <c:showSerName val="0"/>
          <c:showPercent val="0"/>
          <c:showBubbleSize val="0"/>
        </c:dLbls>
        <c:hiLowLines>
          <c:spPr>
            <a:ln w="0">
              <a:noFill/>
            </a:ln>
          </c:spPr>
        </c:hiLowLines>
        <c:marker val="1"/>
        <c:smooth val="0"/>
        <c:axId val="2759219"/>
        <c:axId val="44861875"/>
      </c:lineChart>
      <c:catAx>
        <c:axId val="2759219"/>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Output (tons per season)</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4861875"/>
        <c:crosses val="autoZero"/>
        <c:auto val="1"/>
        <c:lblAlgn val="ctr"/>
        <c:lblOffset val="100"/>
        <c:noMultiLvlLbl val="0"/>
      </c:catAx>
      <c:valAx>
        <c:axId val="44861875"/>
        <c:scaling>
          <c:orientation val="minMax"/>
        </c:scaling>
        <c:delete val="0"/>
        <c:axPos val="l"/>
        <c:title>
          <c:tx>
            <c:rich>
              <a:bodyPr rot="-5400000"/>
              <a:lstStyle/>
              <a:p>
                <a:pPr>
                  <a:defRPr sz="1000" b="1" strike="noStrike" spc="-1">
                    <a:solidFill>
                      <a:srgbClr val="000000"/>
                    </a:solidFill>
                    <a:latin typeface="Calibri"/>
                  </a:defRPr>
                </a:pPr>
                <a:r>
                  <a:rPr sz="1000" b="1" strike="noStrike" spc="-1">
                    <a:solidFill>
                      <a:srgbClr val="000000"/>
                    </a:solidFill>
                    <a:latin typeface="Calibri"/>
                  </a:rPr>
                  <a:t>Dollars per ton</a:t>
                </a:r>
              </a:p>
            </c:rich>
          </c:tx>
          <c:overlay val="0"/>
          <c:spPr>
            <a:noFill/>
            <a:ln w="0">
              <a:noFill/>
            </a:ln>
          </c:spPr>
        </c:title>
        <c:numFmt formatCode="\$#,##0.00;&quot;($&quot;#,##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5921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scatterChart>
        <c:scatterStyle val="lineMarker"/>
        <c:varyColors val="0"/>
        <c:ser>
          <c:idx val="0"/>
          <c:order val="0"/>
          <c:tx>
            <c:v>Fitted TC</c:v>
          </c:tx>
          <c:spPr>
            <a:ln w="21960">
              <a:solidFill>
                <a:srgbClr val="2A78D6"/>
              </a:solidFill>
              <a:prstDash val="sysDot"/>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'TC Curve'!$A$8:$A$56</c:f>
              <c:numCache>
                <c:formatCode>#,##0</c:formatCode>
                <c:ptCount val="49"/>
                <c:pt idx="0">
                  <c:v>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pt idx="17">
                  <c:v>425</c:v>
                </c:pt>
                <c:pt idx="18">
                  <c:v>450</c:v>
                </c:pt>
                <c:pt idx="19">
                  <c:v>475</c:v>
                </c:pt>
                <c:pt idx="20">
                  <c:v>500</c:v>
                </c:pt>
                <c:pt idx="21">
                  <c:v>525</c:v>
                </c:pt>
                <c:pt idx="22">
                  <c:v>550</c:v>
                </c:pt>
                <c:pt idx="23">
                  <c:v>575</c:v>
                </c:pt>
                <c:pt idx="24">
                  <c:v>600</c:v>
                </c:pt>
                <c:pt idx="25">
                  <c:v>625</c:v>
                </c:pt>
                <c:pt idx="26">
                  <c:v>650</c:v>
                </c:pt>
                <c:pt idx="27">
                  <c:v>675</c:v>
                </c:pt>
                <c:pt idx="28">
                  <c:v>700</c:v>
                </c:pt>
                <c:pt idx="29">
                  <c:v>725</c:v>
                </c:pt>
                <c:pt idx="30">
                  <c:v>750</c:v>
                </c:pt>
                <c:pt idx="31">
                  <c:v>775</c:v>
                </c:pt>
                <c:pt idx="32">
                  <c:v>800</c:v>
                </c:pt>
                <c:pt idx="33">
                  <c:v>825</c:v>
                </c:pt>
                <c:pt idx="34">
                  <c:v>850</c:v>
                </c:pt>
                <c:pt idx="35">
                  <c:v>875</c:v>
                </c:pt>
                <c:pt idx="36">
                  <c:v>900</c:v>
                </c:pt>
                <c:pt idx="37">
                  <c:v>925</c:v>
                </c:pt>
                <c:pt idx="38">
                  <c:v>950</c:v>
                </c:pt>
                <c:pt idx="39">
                  <c:v>975</c:v>
                </c:pt>
                <c:pt idx="40">
                  <c:v>1000</c:v>
                </c:pt>
                <c:pt idx="41">
                  <c:v>1025</c:v>
                </c:pt>
                <c:pt idx="42">
                  <c:v>1050</c:v>
                </c:pt>
                <c:pt idx="43">
                  <c:v>1075</c:v>
                </c:pt>
                <c:pt idx="44">
                  <c:v>1100</c:v>
                </c:pt>
                <c:pt idx="45">
                  <c:v>1125</c:v>
                </c:pt>
                <c:pt idx="46">
                  <c:v>1150</c:v>
                </c:pt>
                <c:pt idx="47">
                  <c:v>1175</c:v>
                </c:pt>
                <c:pt idx="48">
                  <c:v>1200</c:v>
                </c:pt>
              </c:numCache>
            </c:numRef>
          </c:xVal>
          <c:yVal>
            <c:numRef>
              <c:f>'TC Curve'!$B$8:$B$56</c:f>
              <c:numCache>
                <c:formatCode>#,##0</c:formatCode>
                <c:ptCount val="49"/>
                <c:pt idx="0">
                  <c:v>60000</c:v>
                </c:pt>
                <c:pt idx="1">
                  <c:v>63500</c:v>
                </c:pt>
                <c:pt idx="2">
                  <c:v>67250</c:v>
                </c:pt>
                <c:pt idx="3">
                  <c:v>71250</c:v>
                </c:pt>
                <c:pt idx="4">
                  <c:v>75500</c:v>
                </c:pt>
                <c:pt idx="5">
                  <c:v>80000</c:v>
                </c:pt>
                <c:pt idx="6">
                  <c:v>84750</c:v>
                </c:pt>
                <c:pt idx="7">
                  <c:v>89750</c:v>
                </c:pt>
                <c:pt idx="8">
                  <c:v>95000</c:v>
                </c:pt>
                <c:pt idx="9">
                  <c:v>100500</c:v>
                </c:pt>
                <c:pt idx="10">
                  <c:v>106250</c:v>
                </c:pt>
                <c:pt idx="11">
                  <c:v>112250</c:v>
                </c:pt>
                <c:pt idx="12">
                  <c:v>118500</c:v>
                </c:pt>
                <c:pt idx="13">
                  <c:v>125000</c:v>
                </c:pt>
                <c:pt idx="14">
                  <c:v>131750</c:v>
                </c:pt>
                <c:pt idx="15">
                  <c:v>138750</c:v>
                </c:pt>
                <c:pt idx="16">
                  <c:v>146000</c:v>
                </c:pt>
                <c:pt idx="17">
                  <c:v>153500</c:v>
                </c:pt>
                <c:pt idx="18">
                  <c:v>161250</c:v>
                </c:pt>
                <c:pt idx="19">
                  <c:v>169250</c:v>
                </c:pt>
                <c:pt idx="20">
                  <c:v>177500</c:v>
                </c:pt>
                <c:pt idx="21">
                  <c:v>186000</c:v>
                </c:pt>
                <c:pt idx="22">
                  <c:v>194750</c:v>
                </c:pt>
                <c:pt idx="23">
                  <c:v>203750</c:v>
                </c:pt>
                <c:pt idx="24">
                  <c:v>213000</c:v>
                </c:pt>
                <c:pt idx="25">
                  <c:v>222500</c:v>
                </c:pt>
                <c:pt idx="26">
                  <c:v>232250</c:v>
                </c:pt>
                <c:pt idx="27">
                  <c:v>242250</c:v>
                </c:pt>
                <c:pt idx="28">
                  <c:v>252500</c:v>
                </c:pt>
                <c:pt idx="29">
                  <c:v>263000</c:v>
                </c:pt>
                <c:pt idx="30">
                  <c:v>273750</c:v>
                </c:pt>
                <c:pt idx="31">
                  <c:v>284750</c:v>
                </c:pt>
                <c:pt idx="32">
                  <c:v>296000</c:v>
                </c:pt>
                <c:pt idx="33">
                  <c:v>307500</c:v>
                </c:pt>
                <c:pt idx="34">
                  <c:v>319250</c:v>
                </c:pt>
                <c:pt idx="35">
                  <c:v>331250</c:v>
                </c:pt>
                <c:pt idx="36">
                  <c:v>343500</c:v>
                </c:pt>
                <c:pt idx="37">
                  <c:v>356000</c:v>
                </c:pt>
                <c:pt idx="38">
                  <c:v>368750</c:v>
                </c:pt>
                <c:pt idx="39">
                  <c:v>381750</c:v>
                </c:pt>
                <c:pt idx="40">
                  <c:v>395000</c:v>
                </c:pt>
                <c:pt idx="41">
                  <c:v>408500</c:v>
                </c:pt>
                <c:pt idx="42">
                  <c:v>422250</c:v>
                </c:pt>
                <c:pt idx="43">
                  <c:v>436250</c:v>
                </c:pt>
                <c:pt idx="44">
                  <c:v>450500</c:v>
                </c:pt>
                <c:pt idx="45">
                  <c:v>465000</c:v>
                </c:pt>
                <c:pt idx="46">
                  <c:v>479750</c:v>
                </c:pt>
                <c:pt idx="47">
                  <c:v>494750</c:v>
                </c:pt>
                <c:pt idx="48">
                  <c:v>510000</c:v>
                </c:pt>
              </c:numCache>
            </c:numRef>
          </c:yVal>
          <c:smooth val="1"/>
          <c:extLst>
            <c:ext xmlns:c16="http://schemas.microsoft.com/office/drawing/2014/chart" uri="{C3380CC4-5D6E-409C-BE32-E72D297353CC}">
              <c16:uniqueId val="{00000000-AD56-5245-A3E4-6908E2845B7C}"/>
            </c:ext>
          </c:extLst>
        </c:ser>
        <c:ser>
          <c:idx val="1"/>
          <c:order val="1"/>
          <c:tx>
            <c:v>Observed TC</c:v>
          </c:tx>
          <c:spPr>
            <a:ln w="28440">
              <a:noFill/>
            </a:ln>
          </c:spPr>
          <c:marker>
            <c:symbol val="circle"/>
            <c:size val="8"/>
            <c:spPr>
              <a:solidFill>
                <a:srgbClr val="2A78D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'TC Curve'!$D$10:$D$21</c:f>
              <c:numCache>
                <c:formatCode>#,##0</c:formatCode>
                <c:ptCount val="12"/>
                <c:pt idx="0">
                  <c:v>50</c:v>
                </c:pt>
                <c:pt idx="1">
                  <c:v>100</c:v>
                </c:pt>
                <c:pt idx="2">
                  <c:v>200</c:v>
                </c:pt>
                <c:pt idx="3">
                  <c:v>300</c:v>
                </c:pt>
                <c:pt idx="4">
                  <c:v>400</c:v>
                </c:pt>
                <c:pt idx="5">
                  <c:v>500</c:v>
                </c:pt>
                <c:pt idx="6">
                  <c:v>600</c:v>
                </c:pt>
                <c:pt idx="7">
                  <c:v>700</c:v>
                </c:pt>
                <c:pt idx="8">
                  <c:v>800</c:v>
                </c:pt>
                <c:pt idx="9">
                  <c:v>900</c:v>
                </c:pt>
                <c:pt idx="10">
                  <c:v>1000</c:v>
                </c:pt>
                <c:pt idx="11">
                  <c:v>1100</c:v>
                </c:pt>
              </c:numCache>
            </c:numRef>
          </c:xVal>
          <c:yVal>
            <c:numRef>
              <c:f>'TC Curve'!$G$10:$G$21</c:f>
              <c:numCache>
                <c:formatCode>#,##0</c:formatCode>
                <c:ptCount val="12"/>
                <c:pt idx="0">
                  <c:v>67804.8125</c:v>
                </c:pt>
                <c:pt idx="1">
                  <c:v>71638.175000000003</c:v>
                </c:pt>
                <c:pt idx="2">
                  <c:v>99517.25</c:v>
                </c:pt>
                <c:pt idx="3">
                  <c:v>117646.8</c:v>
                </c:pt>
                <c:pt idx="4">
                  <c:v>140831.6</c:v>
                </c:pt>
                <c:pt idx="5">
                  <c:v>176727.875</c:v>
                </c:pt>
                <c:pt idx="6">
                  <c:v>221434.80000000002</c:v>
                </c:pt>
                <c:pt idx="7">
                  <c:v>265491.125</c:v>
                </c:pt>
                <c:pt idx="8">
                  <c:v>296887.99999999994</c:v>
                </c:pt>
                <c:pt idx="9">
                  <c:v>344994.22500000003</c:v>
                </c:pt>
                <c:pt idx="10">
                  <c:v>380602.25</c:v>
                </c:pt>
                <c:pt idx="11">
                  <c:v>427929.95</c:v>
                </c:pt>
              </c:numCache>
            </c:numRef>
          </c:yVal>
          <c:smooth val="1"/>
          <c:extLst>
            <c:ext xmlns:c16="http://schemas.microsoft.com/office/drawing/2014/chart" uri="{C3380CC4-5D6E-409C-BE32-E72D297353CC}">
              <c16:uniqueId val="{00000001-AD56-5245-A3E4-6908E2845B7C}"/>
            </c:ext>
          </c:extLst>
        </c:ser>
        <c:dLbls>
          <c:showLegendKey val="0"/>
          <c:showVal val="0"/>
          <c:showCatName val="0"/>
          <c:showSerName val="0"/>
          <c:showPercent val="0"/>
          <c:showBubbleSize val="0"/>
        </c:dLbls>
        <c:axId val="79862448"/>
        <c:axId val="48955436"/>
      </c:scatterChart>
      <c:valAx>
        <c:axId val="79862448"/>
        <c:scaling>
          <c:orientation val="minMax"/>
          <c:max val="1200"/>
          <c:min val="0"/>
        </c:scaling>
        <c:delete val="0"/>
        <c:axPos val="b"/>
        <c:majorGridlines>
          <c:spPr>
            <a:ln w="9360">
              <a:solidFill>
                <a:srgbClr val="878787"/>
              </a:solidFill>
              <a:round/>
            </a:ln>
          </c:spPr>
        </c:majorGridlines>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Output Q (tons per season)</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400" b="0" strike="noStrike" spc="-1">
                <a:solidFill>
                  <a:srgbClr val="000000"/>
                </a:solidFill>
                <a:latin typeface="Calibri"/>
              </a:defRPr>
            </a:pPr>
            <a:endParaRPr lang="en-US"/>
          </a:p>
        </c:txPr>
        <c:crossAx val="48955436"/>
        <c:crosses val="autoZero"/>
        <c:crossBetween val="midCat"/>
      </c:valAx>
      <c:valAx>
        <c:axId val="48955436"/>
        <c:scaling>
          <c:orientation val="minMax"/>
          <c:min val="0"/>
        </c:scaling>
        <c:delete val="0"/>
        <c:axPos val="l"/>
        <c:majorGridlines>
          <c:spPr>
            <a:ln w="9360">
              <a:solidFill>
                <a:srgbClr val="878787"/>
              </a:solidFill>
              <a:round/>
            </a:ln>
          </c:spPr>
        </c:majorGridlines>
        <c:title>
          <c:tx>
            <c:rich>
              <a:bodyPr rot="-5400000"/>
              <a:lstStyle/>
              <a:p>
                <a:pPr>
                  <a:defRPr sz="1800" b="1" strike="noStrike" spc="-1">
                    <a:solidFill>
                      <a:srgbClr val="000000"/>
                    </a:solidFill>
                    <a:latin typeface="Calibri"/>
                  </a:defRPr>
                </a:pPr>
                <a:r>
                  <a:rPr lang="en-US" sz="1800" b="1" strike="noStrike" spc="-1">
                    <a:solidFill>
                      <a:srgbClr val="000000"/>
                    </a:solidFill>
                    <a:latin typeface="Calibri"/>
                  </a:rPr>
                  <a:t>Total cost ($ per season)</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400" b="0" strike="noStrike" spc="-1">
                <a:solidFill>
                  <a:srgbClr val="000000"/>
                </a:solidFill>
                <a:latin typeface="Calibri"/>
              </a:defRPr>
            </a:pPr>
            <a:endParaRPr lang="en-US"/>
          </a:p>
        </c:txPr>
        <c:crossAx val="79862448"/>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2</xdr:row>
      <xdr:rowOff>160920</xdr:rowOff>
    </xdr:from>
    <xdr:to>
      <xdr:col>18</xdr:col>
      <xdr:colOff>113040</xdr:colOff>
      <xdr:row>21</xdr:row>
      <xdr:rowOff>28440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7</xdr:row>
      <xdr:rowOff>160560</xdr:rowOff>
    </xdr:from>
    <xdr:to>
      <xdr:col>20</xdr:col>
      <xdr:colOff>221760</xdr:colOff>
      <xdr:row>30</xdr:row>
      <xdr:rowOff>98640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8" Type="http://schemas.openxmlformats.org/officeDocument/2006/relationships/hyperlink" Target="https://www.ams.usda.gov/mnreports/hc_fv020.pdf" TargetMode="External"/><Relationship Id="rId3" Type="http://schemas.openxmlformats.org/officeDocument/2006/relationships/hyperlink" Target="https://www.nass.usda.gov/Publications/Highlights/2025/2025LandValuesCashRents_FINAL.pdf" TargetMode="External"/><Relationship Id="rId7" Type="http://schemas.openxmlformats.org/officeDocument/2006/relationships/hyperlink" Target="https://www.ams.usda.gov/mnreports/fvdfob.pdf" TargetMode="External"/><Relationship Id="rId2" Type="http://schemas.openxmlformats.org/officeDocument/2006/relationships/hyperlink" Target="https://ucanr.edu/sites/Farm_Management/files/179212.pdf" TargetMode="External"/><Relationship Id="rId1" Type="http://schemas.openxmlformats.org/officeDocument/2006/relationships/hyperlink" Target="https://svaec.ifas.ufl.edu/media/svaecifasufledu/docs/pdf/agribusiness/CabbageBudgetReport_2025-August.pdf" TargetMode="External"/><Relationship Id="rId6" Type="http://schemas.openxmlformats.org/officeDocument/2006/relationships/hyperlink" Target="https://www.bls.gov/ooh/management/farmers-ranchers-and-other-agricultural-managers.htm" TargetMode="External"/><Relationship Id="rId5" Type="http://schemas.openxmlformats.org/officeDocument/2006/relationships/hyperlink" Target="https://www.bls.gov/ooh/farming-fishing-and-forestry/agricultural-workers.htm" TargetMode="External"/><Relationship Id="rId10" Type="http://schemas.openxmlformats.org/officeDocument/2006/relationships/hyperlink" Target="https://www.canr.msu.edu/resources/michigan-cabbage-cost-of-production-2024" TargetMode="External"/><Relationship Id="rId4" Type="http://schemas.openxmlformats.org/officeDocument/2006/relationships/hyperlink" Target="https://wsm.ucmerced.edu/wp-content/uploads/2025/12/understanding_water_rate.pdf" TargetMode="External"/><Relationship Id="rId9" Type="http://schemas.openxmlformats.org/officeDocument/2006/relationships/hyperlink" Target="https://esmis.nal.usda.gov/sites/default/release-files/795772/vegean26.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0"/>
  <sheetViews>
    <sheetView showGridLines="0" zoomScaleNormal="100" workbookViewId="0"/>
  </sheetViews>
  <sheetFormatPr baseColWidth="10" defaultColWidth="8.6640625" defaultRowHeight="15" x14ac:dyDescent="0.2"/>
  <cols>
    <col min="1" max="1" width="52" customWidth="1"/>
    <col min="2" max="2" width="14" customWidth="1"/>
    <col min="3" max="3" width="40" customWidth="1"/>
    <col min="4" max="4" width="26" customWidth="1"/>
  </cols>
  <sheetData>
    <row r="1" spans="1:4" ht="18" x14ac:dyDescent="0.2">
      <c r="A1" s="1" t="s">
        <v>0</v>
      </c>
    </row>
    <row r="2" spans="1:4" x14ac:dyDescent="0.2">
      <c r="A2" s="2" t="s">
        <v>1</v>
      </c>
    </row>
    <row r="3" spans="1:4" x14ac:dyDescent="0.2">
      <c r="A3" s="3" t="s">
        <v>2</v>
      </c>
    </row>
    <row r="5" spans="1:4" x14ac:dyDescent="0.2">
      <c r="A5" s="4" t="s">
        <v>3</v>
      </c>
      <c r="B5" s="4"/>
      <c r="C5" s="4"/>
      <c r="D5" s="4"/>
    </row>
    <row r="6" spans="1:4" x14ac:dyDescent="0.2">
      <c r="A6" s="5" t="s">
        <v>4</v>
      </c>
      <c r="B6" s="6">
        <v>40</v>
      </c>
      <c r="C6" s="7" t="s">
        <v>5</v>
      </c>
      <c r="D6" s="7" t="s">
        <v>6</v>
      </c>
    </row>
    <row r="7" spans="1:4" x14ac:dyDescent="0.2">
      <c r="A7" s="5" t="s">
        <v>7</v>
      </c>
      <c r="B7" s="6">
        <v>21</v>
      </c>
      <c r="C7" s="7" t="s">
        <v>8</v>
      </c>
      <c r="D7" s="7" t="s">
        <v>9</v>
      </c>
    </row>
    <row r="8" spans="1:4" x14ac:dyDescent="0.2">
      <c r="A8" s="8" t="s">
        <v>10</v>
      </c>
      <c r="B8" s="9">
        <f>B6*B7</f>
        <v>840</v>
      </c>
      <c r="C8" s="7" t="s">
        <v>11</v>
      </c>
    </row>
    <row r="10" spans="1:4" x14ac:dyDescent="0.2">
      <c r="A10" s="4" t="s">
        <v>12</v>
      </c>
      <c r="B10" s="4"/>
      <c r="C10" s="4"/>
      <c r="D10" s="4"/>
    </row>
    <row r="11" spans="1:4" x14ac:dyDescent="0.2">
      <c r="A11" s="5" t="s">
        <v>13</v>
      </c>
      <c r="B11" s="10">
        <v>221</v>
      </c>
      <c r="C11" s="7" t="s">
        <v>14</v>
      </c>
      <c r="D11" s="7" t="s">
        <v>9</v>
      </c>
    </row>
    <row r="12" spans="1:4" x14ac:dyDescent="0.2">
      <c r="A12" s="5" t="s">
        <v>15</v>
      </c>
      <c r="B12" s="10">
        <v>370</v>
      </c>
      <c r="C12" s="7" t="s">
        <v>16</v>
      </c>
      <c r="D12" s="7" t="s">
        <v>9</v>
      </c>
    </row>
    <row r="13" spans="1:4" x14ac:dyDescent="0.2">
      <c r="A13" s="5" t="s">
        <v>17</v>
      </c>
      <c r="B13" s="10">
        <v>35980</v>
      </c>
      <c r="C13" s="7" t="s">
        <v>18</v>
      </c>
      <c r="D13" s="7" t="s">
        <v>19</v>
      </c>
    </row>
    <row r="14" spans="1:4" x14ac:dyDescent="0.2">
      <c r="A14" s="8" t="s">
        <v>20</v>
      </c>
      <c r="B14" s="11">
        <f>B6*B11+B6*B12+B13</f>
        <v>59620</v>
      </c>
      <c r="C14" s="7" t="s">
        <v>21</v>
      </c>
    </row>
    <row r="15" spans="1:4" x14ac:dyDescent="0.2">
      <c r="A15" s="7" t="s">
        <v>22</v>
      </c>
    </row>
    <row r="17" spans="1:4" x14ac:dyDescent="0.2">
      <c r="A17" s="4" t="s">
        <v>23</v>
      </c>
      <c r="B17" s="4"/>
      <c r="C17" s="4"/>
      <c r="D17" s="4"/>
    </row>
    <row r="18" spans="1:4" x14ac:dyDescent="0.2">
      <c r="A18" s="7" t="s">
        <v>24</v>
      </c>
    </row>
    <row r="19" spans="1:4" x14ac:dyDescent="0.2">
      <c r="A19" s="7" t="s">
        <v>25</v>
      </c>
    </row>
    <row r="20" spans="1:4" x14ac:dyDescent="0.2">
      <c r="A20" s="12" t="s">
        <v>26</v>
      </c>
      <c r="B20" s="12" t="s">
        <v>27</v>
      </c>
      <c r="C20" s="12" t="s">
        <v>28</v>
      </c>
      <c r="D20" s="12" t="s">
        <v>29</v>
      </c>
    </row>
    <row r="21" spans="1:4" x14ac:dyDescent="0.2">
      <c r="A21" s="5" t="s">
        <v>30</v>
      </c>
      <c r="B21" s="10">
        <v>587</v>
      </c>
      <c r="C21" s="13">
        <f>B21/$B$7</f>
        <v>27.952380952380953</v>
      </c>
      <c r="D21" s="7" t="s">
        <v>9</v>
      </c>
    </row>
    <row r="22" spans="1:4" x14ac:dyDescent="0.2">
      <c r="A22" s="5" t="s">
        <v>31</v>
      </c>
      <c r="B22" s="10">
        <v>170</v>
      </c>
      <c r="C22" s="13">
        <f>B22/$B$7</f>
        <v>8.0952380952380949</v>
      </c>
      <c r="D22" s="7" t="s">
        <v>32</v>
      </c>
    </row>
    <row r="23" spans="1:4" x14ac:dyDescent="0.2">
      <c r="A23" s="5" t="s">
        <v>33</v>
      </c>
      <c r="B23" s="10">
        <v>479</v>
      </c>
      <c r="C23" s="13">
        <f>B23/$B$7</f>
        <v>22.80952380952381</v>
      </c>
      <c r="D23" s="7" t="s">
        <v>9</v>
      </c>
    </row>
    <row r="24" spans="1:4" x14ac:dyDescent="0.2">
      <c r="A24" s="5" t="s">
        <v>34</v>
      </c>
      <c r="B24" s="10">
        <v>361</v>
      </c>
      <c r="C24" s="13">
        <f>B24/$B$7</f>
        <v>17.19047619047619</v>
      </c>
      <c r="D24" s="7" t="s">
        <v>9</v>
      </c>
    </row>
    <row r="25" spans="1:4" x14ac:dyDescent="0.2">
      <c r="A25" s="5" t="s">
        <v>35</v>
      </c>
      <c r="B25" s="10">
        <v>4805</v>
      </c>
      <c r="C25" s="13">
        <f>B25/$B$7</f>
        <v>228.8095238095238</v>
      </c>
      <c r="D25" s="7" t="s">
        <v>9</v>
      </c>
    </row>
    <row r="26" spans="1:4" x14ac:dyDescent="0.2">
      <c r="A26" s="8" t="s">
        <v>36</v>
      </c>
      <c r="B26" s="11">
        <f>SUM(B21:B25)</f>
        <v>6402</v>
      </c>
      <c r="C26" s="14">
        <f>SUM(C21:C25)</f>
        <v>304.85714285714283</v>
      </c>
      <c r="D26" s="7" t="s">
        <v>37</v>
      </c>
    </row>
    <row r="27" spans="1:4" x14ac:dyDescent="0.2">
      <c r="A27" s="8" t="s">
        <v>38</v>
      </c>
      <c r="B27" s="11">
        <f>C26*B8</f>
        <v>256079.99999999997</v>
      </c>
      <c r="D27" s="7" t="s">
        <v>39</v>
      </c>
    </row>
    <row r="29" spans="1:4" x14ac:dyDescent="0.2">
      <c r="A29" s="4" t="s">
        <v>40</v>
      </c>
      <c r="B29" s="4"/>
      <c r="C29" s="4"/>
      <c r="D29" s="4"/>
    </row>
    <row r="30" spans="1:4" x14ac:dyDescent="0.2">
      <c r="A30" s="7" t="s">
        <v>41</v>
      </c>
    </row>
    <row r="31" spans="1:4" x14ac:dyDescent="0.2">
      <c r="A31" s="7" t="s">
        <v>42</v>
      </c>
    </row>
    <row r="32" spans="1:4" x14ac:dyDescent="0.2">
      <c r="A32" s="5" t="s">
        <v>43</v>
      </c>
      <c r="B32" s="6">
        <v>3</v>
      </c>
      <c r="C32" s="7" t="s">
        <v>44</v>
      </c>
      <c r="D32" s="7" t="s">
        <v>45</v>
      </c>
    </row>
    <row r="33" spans="1:4" x14ac:dyDescent="0.2">
      <c r="A33" s="7" t="s">
        <v>46</v>
      </c>
    </row>
    <row r="34" spans="1:4" x14ac:dyDescent="0.2">
      <c r="A34" s="7" t="s">
        <v>47</v>
      </c>
    </row>
    <row r="35" spans="1:4" x14ac:dyDescent="0.2">
      <c r="A35" s="7" t="s">
        <v>48</v>
      </c>
    </row>
    <row r="36" spans="1:4" x14ac:dyDescent="0.2">
      <c r="A36" s="7" t="s">
        <v>49</v>
      </c>
    </row>
    <row r="37" spans="1:4" x14ac:dyDescent="0.2">
      <c r="A37" s="5" t="s">
        <v>50</v>
      </c>
      <c r="B37" s="13">
        <f>C25</f>
        <v>228.8095238095238</v>
      </c>
      <c r="C37" s="7" t="s">
        <v>51</v>
      </c>
    </row>
    <row r="38" spans="1:4" x14ac:dyDescent="0.2">
      <c r="A38" s="5" t="s">
        <v>52</v>
      </c>
      <c r="B38" s="15">
        <v>40</v>
      </c>
      <c r="C38" s="7" t="s">
        <v>53</v>
      </c>
      <c r="D38" s="7" t="s">
        <v>54</v>
      </c>
    </row>
    <row r="39" spans="1:4" x14ac:dyDescent="0.2">
      <c r="A39" s="5" t="s">
        <v>55</v>
      </c>
      <c r="B39" s="16">
        <v>0.2</v>
      </c>
      <c r="C39" s="7" t="s">
        <v>56</v>
      </c>
      <c r="D39" s="7" t="s">
        <v>57</v>
      </c>
    </row>
    <row r="40" spans="1:4" x14ac:dyDescent="0.2">
      <c r="A40" s="5" t="s">
        <v>58</v>
      </c>
      <c r="B40" s="15">
        <v>425.7</v>
      </c>
      <c r="C40" s="7" t="s">
        <v>59</v>
      </c>
      <c r="D40" s="7" t="s">
        <v>9</v>
      </c>
    </row>
    <row r="41" spans="1:4" x14ac:dyDescent="0.2">
      <c r="A41" s="17" t="s">
        <v>60</v>
      </c>
    </row>
    <row r="42" spans="1:4" x14ac:dyDescent="0.2">
      <c r="A42" s="5" t="s">
        <v>61</v>
      </c>
      <c r="B42" s="13">
        <f>B37+B38</f>
        <v>268.8095238095238</v>
      </c>
      <c r="C42" s="7" t="s">
        <v>62</v>
      </c>
    </row>
    <row r="43" spans="1:4" x14ac:dyDescent="0.2">
      <c r="A43" s="5" t="s">
        <v>63</v>
      </c>
      <c r="B43" s="18">
        <f>(C26-B42)/B8</f>
        <v>4.2913832199546476E-2</v>
      </c>
      <c r="C43" s="7" t="s">
        <v>64</v>
      </c>
    </row>
    <row r="44" spans="1:4" x14ac:dyDescent="0.2">
      <c r="A44" s="5" t="s">
        <v>65</v>
      </c>
      <c r="B44" s="13">
        <f>2*C26-B40</f>
        <v>184.01428571428568</v>
      </c>
      <c r="C44" s="7" t="s">
        <v>66</v>
      </c>
    </row>
    <row r="45" spans="1:4" x14ac:dyDescent="0.2">
      <c r="A45" s="5" t="s">
        <v>67</v>
      </c>
      <c r="B45" s="18">
        <f>(B40-C26)/B8</f>
        <v>0.1438605442176871</v>
      </c>
      <c r="C45" s="7" t="s">
        <v>68</v>
      </c>
    </row>
    <row r="46" spans="1:4" x14ac:dyDescent="0.2">
      <c r="A46" s="5" t="s">
        <v>69</v>
      </c>
      <c r="B46" s="13">
        <f>C26-B39*B8</f>
        <v>136.85714285714283</v>
      </c>
      <c r="C46" s="7" t="s">
        <v>70</v>
      </c>
    </row>
    <row r="47" spans="1:4" x14ac:dyDescent="0.2">
      <c r="A47" s="5" t="s">
        <v>71</v>
      </c>
      <c r="B47" s="18">
        <f>B39</f>
        <v>0.2</v>
      </c>
      <c r="C47" s="7" t="s">
        <v>72</v>
      </c>
    </row>
    <row r="48" spans="1:4" x14ac:dyDescent="0.2">
      <c r="A48" s="8" t="s">
        <v>73</v>
      </c>
      <c r="B48" s="14">
        <f>IF($B$32=3,B46,IF($B$32=2,B44,B42))</f>
        <v>136.85714285714283</v>
      </c>
      <c r="C48" s="7" t="s">
        <v>74</v>
      </c>
    </row>
    <row r="49" spans="1:4" x14ac:dyDescent="0.2">
      <c r="A49" s="8" t="s">
        <v>75</v>
      </c>
      <c r="B49" s="19">
        <f>IF($B$32=3,B47,IF($B$32=2,B45,B43))</f>
        <v>0.2</v>
      </c>
      <c r="C49" s="7" t="s">
        <v>74</v>
      </c>
    </row>
    <row r="50" spans="1:4" x14ac:dyDescent="0.2">
      <c r="A50" s="5" t="s">
        <v>76</v>
      </c>
      <c r="B50" s="13">
        <f>B48+B49*B8</f>
        <v>304.85714285714283</v>
      </c>
      <c r="C50" s="7" t="s">
        <v>77</v>
      </c>
    </row>
    <row r="51" spans="1:4" x14ac:dyDescent="0.2">
      <c r="A51" s="5" t="s">
        <v>78</v>
      </c>
      <c r="B51" s="20">
        <f>B48*B8+B49*B8^2</f>
        <v>256080</v>
      </c>
      <c r="C51" s="7" t="s">
        <v>79</v>
      </c>
    </row>
    <row r="52" spans="1:4" x14ac:dyDescent="0.2">
      <c r="A52" s="5" t="s">
        <v>80</v>
      </c>
      <c r="B52" s="21">
        <f>B49*1100^2/(B48*1100+B49*1100^2)</f>
        <v>0.61649319455564444</v>
      </c>
      <c r="C52" s="7" t="s">
        <v>81</v>
      </c>
    </row>
    <row r="53" spans="1:4" x14ac:dyDescent="0.2">
      <c r="A53" s="8" t="s">
        <v>82</v>
      </c>
      <c r="B53" s="14">
        <f>B48+2*B49*B8</f>
        <v>472.85714285714283</v>
      </c>
      <c r="C53" s="7" t="s">
        <v>83</v>
      </c>
    </row>
    <row r="54" spans="1:4" x14ac:dyDescent="0.2">
      <c r="A54" s="5" t="s">
        <v>84</v>
      </c>
      <c r="B54" s="22">
        <f>SQRT(B14/B49)</f>
        <v>545.98534778874784</v>
      </c>
      <c r="C54" s="7" t="s">
        <v>85</v>
      </c>
    </row>
    <row r="55" spans="1:4" x14ac:dyDescent="0.2">
      <c r="A55" s="5" t="s">
        <v>86</v>
      </c>
      <c r="B55" s="13">
        <f>B14/B54+B48+B49*B54</f>
        <v>355.251281972642</v>
      </c>
      <c r="C55" s="7" t="s">
        <v>87</v>
      </c>
    </row>
    <row r="56" spans="1:4" x14ac:dyDescent="0.2">
      <c r="A56" s="5" t="s">
        <v>88</v>
      </c>
      <c r="B56" s="23">
        <f>B54/B6</f>
        <v>13.649633694718696</v>
      </c>
      <c r="C56" s="7" t="s">
        <v>89</v>
      </c>
    </row>
    <row r="58" spans="1:4" x14ac:dyDescent="0.2">
      <c r="A58" s="4" t="s">
        <v>90</v>
      </c>
      <c r="B58" s="4"/>
      <c r="C58" s="4"/>
      <c r="D58" s="4"/>
    </row>
    <row r="59" spans="1:4" x14ac:dyDescent="0.2">
      <c r="A59" s="7" t="s">
        <v>91</v>
      </c>
    </row>
    <row r="60" spans="1:4" x14ac:dyDescent="0.2">
      <c r="A60" s="7" t="s">
        <v>92</v>
      </c>
    </row>
    <row r="61" spans="1:4" x14ac:dyDescent="0.2">
      <c r="A61" s="5" t="s">
        <v>93</v>
      </c>
      <c r="B61" s="6">
        <v>1</v>
      </c>
      <c r="C61" s="7" t="s">
        <v>94</v>
      </c>
      <c r="D61" s="7" t="s">
        <v>57</v>
      </c>
    </row>
    <row r="62" spans="1:4" x14ac:dyDescent="0.2">
      <c r="A62" s="5" t="s">
        <v>95</v>
      </c>
      <c r="B62" s="10">
        <v>60000</v>
      </c>
      <c r="C62" s="7" t="s">
        <v>96</v>
      </c>
      <c r="D62" s="7" t="s">
        <v>97</v>
      </c>
    </row>
    <row r="63" spans="1:4" x14ac:dyDescent="0.2">
      <c r="A63" s="5" t="s">
        <v>98</v>
      </c>
      <c r="B63" s="15">
        <v>135</v>
      </c>
      <c r="C63" s="7" t="s">
        <v>99</v>
      </c>
      <c r="D63" s="7" t="s">
        <v>97</v>
      </c>
    </row>
    <row r="64" spans="1:4" x14ac:dyDescent="0.2">
      <c r="A64" s="5" t="s">
        <v>100</v>
      </c>
      <c r="B64" s="16">
        <v>0.2</v>
      </c>
      <c r="C64" s="7" t="s">
        <v>101</v>
      </c>
      <c r="D64" s="7" t="s">
        <v>97</v>
      </c>
    </row>
    <row r="65" spans="1:4" x14ac:dyDescent="0.2">
      <c r="A65" s="8" t="s">
        <v>102</v>
      </c>
      <c r="B65" s="11">
        <f>IF($B$61=1,B62,B14)</f>
        <v>60000</v>
      </c>
      <c r="C65" s="7" t="s">
        <v>103</v>
      </c>
    </row>
    <row r="66" spans="1:4" x14ac:dyDescent="0.2">
      <c r="A66" s="8" t="s">
        <v>104</v>
      </c>
      <c r="B66" s="14">
        <f>IF($B$61=1,B63,B48)</f>
        <v>135</v>
      </c>
      <c r="C66" s="7" t="s">
        <v>105</v>
      </c>
    </row>
    <row r="67" spans="1:4" x14ac:dyDescent="0.2">
      <c r="A67" s="8" t="s">
        <v>106</v>
      </c>
      <c r="B67" s="19">
        <f>IF($B$61=1,B64,B49)</f>
        <v>0.2</v>
      </c>
      <c r="C67" s="7" t="s">
        <v>107</v>
      </c>
    </row>
    <row r="68" spans="1:4" x14ac:dyDescent="0.2">
      <c r="A68" s="5" t="s">
        <v>108</v>
      </c>
      <c r="B68" s="13">
        <f>B65-B14</f>
        <v>380</v>
      </c>
      <c r="C68" s="7" t="s">
        <v>109</v>
      </c>
    </row>
    <row r="69" spans="1:4" x14ac:dyDescent="0.2">
      <c r="A69" s="5" t="s">
        <v>110</v>
      </c>
      <c r="B69" s="24">
        <f>B68/B14</f>
        <v>6.3737001006373703E-3</v>
      </c>
      <c r="C69" s="7"/>
    </row>
    <row r="70" spans="1:4" x14ac:dyDescent="0.2">
      <c r="A70" s="5" t="s">
        <v>111</v>
      </c>
      <c r="B70" s="20">
        <f>B66*B8+B67*B8^2</f>
        <v>254520</v>
      </c>
      <c r="C70" s="7" t="s">
        <v>112</v>
      </c>
    </row>
    <row r="71" spans="1:4" x14ac:dyDescent="0.2">
      <c r="A71" s="5" t="s">
        <v>113</v>
      </c>
      <c r="B71" s="13">
        <f>B70-B27</f>
        <v>-1559.9999999999709</v>
      </c>
      <c r="C71" s="7" t="s">
        <v>114</v>
      </c>
    </row>
    <row r="72" spans="1:4" x14ac:dyDescent="0.2">
      <c r="A72" s="5" t="s">
        <v>115</v>
      </c>
      <c r="B72" s="24">
        <f>B71/B27</f>
        <v>-6.0918462980317518E-3</v>
      </c>
      <c r="C72" s="7" t="s">
        <v>116</v>
      </c>
    </row>
    <row r="73" spans="1:4" x14ac:dyDescent="0.2">
      <c r="A73" s="5" t="s">
        <v>117</v>
      </c>
      <c r="B73" s="18">
        <f>(C26-B66)/B8</f>
        <v>0.20221088435374146</v>
      </c>
      <c r="C73" s="7" t="s">
        <v>118</v>
      </c>
    </row>
    <row r="74" spans="1:4" x14ac:dyDescent="0.2">
      <c r="A74" s="5" t="s">
        <v>119</v>
      </c>
      <c r="B74" s="21">
        <f>B67*1100^2/(B66*1100+B67*1100^2)</f>
        <v>0.61971830985915488</v>
      </c>
      <c r="C74" s="7" t="s">
        <v>120</v>
      </c>
    </row>
    <row r="76" spans="1:4" x14ac:dyDescent="0.2">
      <c r="A76" s="4" t="s">
        <v>121</v>
      </c>
      <c r="B76" s="4"/>
      <c r="C76" s="4"/>
      <c r="D76" s="4"/>
    </row>
    <row r="77" spans="1:4" x14ac:dyDescent="0.2">
      <c r="A77" s="5" t="s">
        <v>122</v>
      </c>
      <c r="B77" s="15">
        <v>473</v>
      </c>
      <c r="C77" s="7" t="s">
        <v>123</v>
      </c>
      <c r="D77" s="7" t="s">
        <v>9</v>
      </c>
    </row>
    <row r="78" spans="1:4" x14ac:dyDescent="0.2">
      <c r="A78" s="5" t="s">
        <v>124</v>
      </c>
      <c r="B78" s="25">
        <v>0.1</v>
      </c>
      <c r="C78" s="7" t="s">
        <v>125</v>
      </c>
      <c r="D78" s="7" t="s">
        <v>9</v>
      </c>
    </row>
    <row r="79" spans="1:4" x14ac:dyDescent="0.2">
      <c r="A79" s="8" t="s">
        <v>126</v>
      </c>
      <c r="B79" s="14">
        <f>B77*(1-B78)</f>
        <v>425.7</v>
      </c>
      <c r="C79" s="7" t="s">
        <v>127</v>
      </c>
    </row>
    <row r="80" spans="1:4" x14ac:dyDescent="0.2">
      <c r="A80" s="5" t="s">
        <v>128</v>
      </c>
      <c r="B80" s="13">
        <f>B65/B8+B66+B67*B8</f>
        <v>374.42857142857144</v>
      </c>
      <c r="C80" s="7" t="s">
        <v>129</v>
      </c>
    </row>
    <row r="81" spans="1:4" x14ac:dyDescent="0.2">
      <c r="A81" s="5" t="s">
        <v>130</v>
      </c>
      <c r="B81" s="13">
        <f>B66+2*B67*B8</f>
        <v>471</v>
      </c>
      <c r="C81" s="7" t="s">
        <v>131</v>
      </c>
    </row>
    <row r="82" spans="1:4" x14ac:dyDescent="0.2">
      <c r="A82" s="5" t="s">
        <v>132</v>
      </c>
      <c r="B82" s="13">
        <f>B79-B80</f>
        <v>51.271428571428544</v>
      </c>
      <c r="C82" s="7" t="s">
        <v>133</v>
      </c>
    </row>
    <row r="83" spans="1:4" x14ac:dyDescent="0.2">
      <c r="A83" s="5" t="s">
        <v>134</v>
      </c>
      <c r="B83" s="13">
        <f>B82*B8/B6</f>
        <v>1076.6999999999994</v>
      </c>
      <c r="C83" s="7" t="s">
        <v>135</v>
      </c>
    </row>
    <row r="84" spans="1:4" x14ac:dyDescent="0.2">
      <c r="A84" s="8" t="s">
        <v>136</v>
      </c>
      <c r="B84" s="9">
        <f>(B79-B66)/(2*B67)</f>
        <v>726.74999999999989</v>
      </c>
      <c r="C84" s="7" t="s">
        <v>137</v>
      </c>
    </row>
    <row r="85" spans="1:4" x14ac:dyDescent="0.2">
      <c r="A85" s="5" t="s">
        <v>88</v>
      </c>
      <c r="B85" s="23">
        <f>B84/B6</f>
        <v>18.168749999999996</v>
      </c>
      <c r="C85" s="7" t="s">
        <v>89</v>
      </c>
    </row>
    <row r="86" spans="1:4" x14ac:dyDescent="0.2">
      <c r="A86" s="5" t="s">
        <v>84</v>
      </c>
      <c r="B86" s="22">
        <f>SQRT(B65/B67)</f>
        <v>547.72255750516615</v>
      </c>
      <c r="C86" s="7" t="s">
        <v>85</v>
      </c>
    </row>
    <row r="87" spans="1:4" x14ac:dyDescent="0.2">
      <c r="A87" s="5" t="s">
        <v>86</v>
      </c>
      <c r="B87" s="13">
        <f>B65/B86+B66+B67*B86</f>
        <v>354.08902300206648</v>
      </c>
      <c r="C87" s="7" t="s">
        <v>87</v>
      </c>
    </row>
    <row r="88" spans="1:4" x14ac:dyDescent="0.2">
      <c r="A88" s="5" t="s">
        <v>138</v>
      </c>
      <c r="B88" s="13">
        <f>B79-B66</f>
        <v>290.7</v>
      </c>
      <c r="C88" s="7" t="s">
        <v>139</v>
      </c>
    </row>
    <row r="90" spans="1:4" x14ac:dyDescent="0.2">
      <c r="A90" s="4" t="s">
        <v>140</v>
      </c>
      <c r="B90" s="4"/>
      <c r="C90" s="4"/>
      <c r="D90" s="4"/>
    </row>
    <row r="91" spans="1:4" x14ac:dyDescent="0.2">
      <c r="A91" s="12" t="s">
        <v>141</v>
      </c>
      <c r="B91" s="12" t="s">
        <v>142</v>
      </c>
      <c r="C91" s="12" t="s">
        <v>143</v>
      </c>
      <c r="D91" s="12" t="s">
        <v>29</v>
      </c>
    </row>
    <row r="92" spans="1:4" x14ac:dyDescent="0.2">
      <c r="A92" s="5" t="s">
        <v>144</v>
      </c>
      <c r="B92" s="20">
        <v>221</v>
      </c>
      <c r="C92" s="26" t="s">
        <v>145</v>
      </c>
      <c r="D92" s="26" t="s">
        <v>9</v>
      </c>
    </row>
    <row r="93" spans="1:4" x14ac:dyDescent="0.2">
      <c r="A93" s="5" t="s">
        <v>146</v>
      </c>
      <c r="B93" s="20">
        <v>244</v>
      </c>
      <c r="C93" s="26" t="s">
        <v>145</v>
      </c>
      <c r="D93" s="26" t="s">
        <v>147</v>
      </c>
    </row>
    <row r="94" spans="1:4" x14ac:dyDescent="0.2">
      <c r="A94" s="5" t="s">
        <v>148</v>
      </c>
      <c r="B94" s="20">
        <v>483</v>
      </c>
      <c r="C94" s="26" t="s">
        <v>145</v>
      </c>
      <c r="D94" s="26" t="s">
        <v>147</v>
      </c>
    </row>
    <row r="95" spans="1:4" x14ac:dyDescent="0.2">
      <c r="A95" s="5" t="s">
        <v>149</v>
      </c>
      <c r="B95" s="20">
        <v>933</v>
      </c>
      <c r="C95" s="26" t="s">
        <v>145</v>
      </c>
      <c r="D95" s="26" t="s">
        <v>150</v>
      </c>
    </row>
    <row r="96" spans="1:4" x14ac:dyDescent="0.2">
      <c r="A96" s="5" t="s">
        <v>151</v>
      </c>
      <c r="B96" s="20">
        <v>43</v>
      </c>
      <c r="C96" s="26" t="s">
        <v>152</v>
      </c>
      <c r="D96" s="26" t="s">
        <v>153</v>
      </c>
    </row>
    <row r="97" spans="1:4" x14ac:dyDescent="0.2">
      <c r="A97" s="5" t="s">
        <v>154</v>
      </c>
      <c r="B97" s="20">
        <v>76</v>
      </c>
      <c r="C97" s="26" t="s">
        <v>152</v>
      </c>
      <c r="D97" s="26" t="s">
        <v>153</v>
      </c>
    </row>
    <row r="98" spans="1:4" x14ac:dyDescent="0.2">
      <c r="A98" s="5" t="s">
        <v>155</v>
      </c>
      <c r="B98" s="20">
        <v>112</v>
      </c>
      <c r="C98" s="26" t="s">
        <v>152</v>
      </c>
      <c r="D98" s="26" t="s">
        <v>153</v>
      </c>
    </row>
    <row r="99" spans="1:4" x14ac:dyDescent="0.2">
      <c r="A99" s="5" t="s">
        <v>156</v>
      </c>
      <c r="B99" s="20">
        <v>35980</v>
      </c>
      <c r="C99" s="26" t="s">
        <v>157</v>
      </c>
      <c r="D99" s="26" t="s">
        <v>19</v>
      </c>
    </row>
    <row r="100" spans="1:4" x14ac:dyDescent="0.2">
      <c r="A100" s="5" t="s">
        <v>158</v>
      </c>
      <c r="B100" s="20">
        <v>17.3</v>
      </c>
      <c r="C100" s="26" t="s">
        <v>159</v>
      </c>
      <c r="D100" s="26" t="s">
        <v>19</v>
      </c>
    </row>
    <row r="101" spans="1:4" x14ac:dyDescent="0.2">
      <c r="A101" s="5" t="s">
        <v>160</v>
      </c>
      <c r="B101" s="20">
        <v>87980</v>
      </c>
      <c r="C101" s="26" t="s">
        <v>157</v>
      </c>
      <c r="D101" s="26" t="s">
        <v>19</v>
      </c>
    </row>
    <row r="102" spans="1:4" x14ac:dyDescent="0.2">
      <c r="A102" s="5" t="s">
        <v>161</v>
      </c>
      <c r="B102" s="20">
        <v>51700</v>
      </c>
      <c r="C102" s="26" t="s">
        <v>157</v>
      </c>
      <c r="D102" s="26" t="s">
        <v>19</v>
      </c>
    </row>
    <row r="103" spans="1:4" x14ac:dyDescent="0.2">
      <c r="A103" s="5" t="s">
        <v>162</v>
      </c>
      <c r="B103" s="20">
        <v>22.2</v>
      </c>
      <c r="C103" s="26" t="s">
        <v>163</v>
      </c>
      <c r="D103" s="26" t="s">
        <v>147</v>
      </c>
    </row>
    <row r="104" spans="1:4" x14ac:dyDescent="0.2">
      <c r="A104" s="5" t="s">
        <v>164</v>
      </c>
      <c r="B104" s="20">
        <v>22.8</v>
      </c>
      <c r="C104" s="26" t="s">
        <v>163</v>
      </c>
      <c r="D104" s="26" t="s">
        <v>147</v>
      </c>
    </row>
    <row r="105" spans="1:4" x14ac:dyDescent="0.2">
      <c r="A105" s="5" t="s">
        <v>165</v>
      </c>
      <c r="B105" s="20">
        <v>21.8</v>
      </c>
      <c r="C105" s="26" t="s">
        <v>163</v>
      </c>
      <c r="D105" s="26" t="s">
        <v>147</v>
      </c>
    </row>
    <row r="106" spans="1:4" x14ac:dyDescent="0.2">
      <c r="A106" s="5" t="s">
        <v>166</v>
      </c>
      <c r="B106" s="20">
        <v>32</v>
      </c>
      <c r="C106" s="26" t="s">
        <v>163</v>
      </c>
      <c r="D106" s="26" t="s">
        <v>147</v>
      </c>
    </row>
    <row r="107" spans="1:4" x14ac:dyDescent="0.2">
      <c r="A107" s="5" t="s">
        <v>167</v>
      </c>
      <c r="B107" s="20">
        <v>428</v>
      </c>
      <c r="C107" s="26" t="s">
        <v>168</v>
      </c>
      <c r="D107" s="26" t="s">
        <v>147</v>
      </c>
    </row>
    <row r="108" spans="1:4" x14ac:dyDescent="0.2">
      <c r="A108" s="5" t="s">
        <v>169</v>
      </c>
      <c r="B108" s="20">
        <v>488</v>
      </c>
      <c r="C108" s="26" t="s">
        <v>168</v>
      </c>
      <c r="D108" s="26" t="s">
        <v>147</v>
      </c>
    </row>
    <row r="111" spans="1:4" x14ac:dyDescent="0.2">
      <c r="A111" s="3" t="s">
        <v>170</v>
      </c>
    </row>
    <row r="112" spans="1:4" x14ac:dyDescent="0.2">
      <c r="A112" s="27" t="s">
        <v>171</v>
      </c>
    </row>
    <row r="113" spans="1:1" x14ac:dyDescent="0.2">
      <c r="A113" s="27" t="s">
        <v>172</v>
      </c>
    </row>
    <row r="114" spans="1:1" x14ac:dyDescent="0.2">
      <c r="A114" s="27" t="s">
        <v>173</v>
      </c>
    </row>
    <row r="115" spans="1:1" x14ac:dyDescent="0.2">
      <c r="A115" s="27"/>
    </row>
    <row r="116" spans="1:1" x14ac:dyDescent="0.2">
      <c r="A116" s="27" t="s">
        <v>174</v>
      </c>
    </row>
    <row r="117" spans="1:1" x14ac:dyDescent="0.2">
      <c r="A117" s="27" t="s">
        <v>175</v>
      </c>
    </row>
    <row r="118" spans="1:1" x14ac:dyDescent="0.2">
      <c r="A118" s="27" t="s">
        <v>176</v>
      </c>
    </row>
    <row r="119" spans="1:1" x14ac:dyDescent="0.2">
      <c r="A119" s="27" t="s">
        <v>177</v>
      </c>
    </row>
    <row r="120" spans="1:1" x14ac:dyDescent="0.2">
      <c r="A120" s="27" t="s">
        <v>178</v>
      </c>
    </row>
    <row r="121" spans="1:1" x14ac:dyDescent="0.2">
      <c r="A121" s="27"/>
    </row>
    <row r="122" spans="1:1" x14ac:dyDescent="0.2">
      <c r="A122" s="27" t="s">
        <v>179</v>
      </c>
    </row>
    <row r="123" spans="1:1" x14ac:dyDescent="0.2">
      <c r="A123" s="27" t="s">
        <v>180</v>
      </c>
    </row>
    <row r="124" spans="1:1" x14ac:dyDescent="0.2">
      <c r="A124" s="27" t="s">
        <v>181</v>
      </c>
    </row>
    <row r="125" spans="1:1" x14ac:dyDescent="0.2">
      <c r="A125" s="27"/>
    </row>
    <row r="126" spans="1:1" x14ac:dyDescent="0.2">
      <c r="A126" s="27" t="s">
        <v>182</v>
      </c>
    </row>
    <row r="127" spans="1:1" x14ac:dyDescent="0.2">
      <c r="A127" s="27" t="s">
        <v>183</v>
      </c>
    </row>
    <row r="128" spans="1:1" x14ac:dyDescent="0.2">
      <c r="A128" s="27" t="s">
        <v>184</v>
      </c>
    </row>
    <row r="129" spans="1:1" x14ac:dyDescent="0.2">
      <c r="A129" s="27" t="s">
        <v>185</v>
      </c>
    </row>
    <row r="130" spans="1:1" x14ac:dyDescent="0.2">
      <c r="A130" s="27" t="s">
        <v>186</v>
      </c>
    </row>
    <row r="131" spans="1:1" x14ac:dyDescent="0.2">
      <c r="A131" s="27" t="s">
        <v>187</v>
      </c>
    </row>
    <row r="132" spans="1:1" x14ac:dyDescent="0.2">
      <c r="A132" s="27" t="s">
        <v>188</v>
      </c>
    </row>
    <row r="133" spans="1:1" x14ac:dyDescent="0.2">
      <c r="A133" s="27"/>
    </row>
    <row r="134" spans="1:1" x14ac:dyDescent="0.2">
      <c r="A134" s="27" t="s">
        <v>189</v>
      </c>
    </row>
    <row r="135" spans="1:1" x14ac:dyDescent="0.2">
      <c r="A135" s="27" t="s">
        <v>190</v>
      </c>
    </row>
    <row r="136" spans="1:1" x14ac:dyDescent="0.2">
      <c r="A136" s="27" t="s">
        <v>191</v>
      </c>
    </row>
    <row r="137" spans="1:1" x14ac:dyDescent="0.2">
      <c r="A137" s="27" t="s">
        <v>192</v>
      </c>
    </row>
    <row r="138" spans="1:1" x14ac:dyDescent="0.2">
      <c r="A138" s="27"/>
    </row>
    <row r="139" spans="1:1" x14ac:dyDescent="0.2">
      <c r="A139" s="27" t="s">
        <v>193</v>
      </c>
    </row>
    <row r="140" spans="1:1" x14ac:dyDescent="0.2">
      <c r="A140" s="27" t="s">
        <v>194</v>
      </c>
    </row>
  </sheetData>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showGridLines="0" zoomScaleNormal="100" workbookViewId="0"/>
  </sheetViews>
  <sheetFormatPr baseColWidth="10" defaultColWidth="8.6640625" defaultRowHeight="15" x14ac:dyDescent="0.2"/>
  <cols>
    <col min="1" max="1" width="12" customWidth="1"/>
    <col min="2" max="4" width="16" customWidth="1"/>
  </cols>
  <sheetData>
    <row r="1" spans="1:4" ht="18" x14ac:dyDescent="0.2">
      <c r="A1" s="1" t="s">
        <v>195</v>
      </c>
    </row>
    <row r="2" spans="1:4" x14ac:dyDescent="0.2">
      <c r="A2" s="2" t="s">
        <v>196</v>
      </c>
    </row>
    <row r="3" spans="1:4" x14ac:dyDescent="0.2">
      <c r="A3" s="7" t="s">
        <v>197</v>
      </c>
    </row>
    <row r="5" spans="1:4" x14ac:dyDescent="0.2">
      <c r="A5" s="28" t="s">
        <v>198</v>
      </c>
      <c r="B5" s="28" t="s">
        <v>199</v>
      </c>
      <c r="C5" s="28" t="s">
        <v>200</v>
      </c>
      <c r="D5" s="28" t="s">
        <v>201</v>
      </c>
    </row>
    <row r="6" spans="1:4" x14ac:dyDescent="0.2">
      <c r="A6" s="29">
        <v>50</v>
      </c>
      <c r="B6" s="30">
        <f t="shared" ref="B6:B17" si="0">C6+D6</f>
        <v>67250</v>
      </c>
      <c r="C6" s="30">
        <f>Assumptions!$B$65</f>
        <v>60000</v>
      </c>
      <c r="D6" s="30">
        <f>Assumptions!$B$66*A6+Assumptions!$B$67*A6^2</f>
        <v>7250</v>
      </c>
    </row>
    <row r="7" spans="1:4" x14ac:dyDescent="0.2">
      <c r="A7" s="29">
        <v>100</v>
      </c>
      <c r="B7" s="30">
        <f t="shared" si="0"/>
        <v>75500</v>
      </c>
      <c r="C7" s="30">
        <f>Assumptions!$B$65</f>
        <v>60000</v>
      </c>
      <c r="D7" s="30">
        <f>Assumptions!$B$66*A7+Assumptions!$B$67*A7^2</f>
        <v>15500</v>
      </c>
    </row>
    <row r="8" spans="1:4" x14ac:dyDescent="0.2">
      <c r="A8" s="29">
        <v>200</v>
      </c>
      <c r="B8" s="30">
        <f t="shared" si="0"/>
        <v>95000</v>
      </c>
      <c r="C8" s="30">
        <f>Assumptions!$B$65</f>
        <v>60000</v>
      </c>
      <c r="D8" s="30">
        <f>Assumptions!$B$66*A8+Assumptions!$B$67*A8^2</f>
        <v>35000</v>
      </c>
    </row>
    <row r="9" spans="1:4" x14ac:dyDescent="0.2">
      <c r="A9" s="29">
        <v>300</v>
      </c>
      <c r="B9" s="30">
        <f t="shared" si="0"/>
        <v>118500</v>
      </c>
      <c r="C9" s="30">
        <f>Assumptions!$B$65</f>
        <v>60000</v>
      </c>
      <c r="D9" s="30">
        <f>Assumptions!$B$66*A9+Assumptions!$B$67*A9^2</f>
        <v>58500</v>
      </c>
    </row>
    <row r="10" spans="1:4" x14ac:dyDescent="0.2">
      <c r="A10" s="29">
        <v>400</v>
      </c>
      <c r="B10" s="30">
        <f t="shared" si="0"/>
        <v>146000</v>
      </c>
      <c r="C10" s="30">
        <f>Assumptions!$B$65</f>
        <v>60000</v>
      </c>
      <c r="D10" s="30">
        <f>Assumptions!$B$66*A10+Assumptions!$B$67*A10^2</f>
        <v>86000</v>
      </c>
    </row>
    <row r="11" spans="1:4" x14ac:dyDescent="0.2">
      <c r="A11" s="29">
        <v>500</v>
      </c>
      <c r="B11" s="30">
        <f t="shared" si="0"/>
        <v>177500</v>
      </c>
      <c r="C11" s="30">
        <f>Assumptions!$B$65</f>
        <v>60000</v>
      </c>
      <c r="D11" s="30">
        <f>Assumptions!$B$66*A11+Assumptions!$B$67*A11^2</f>
        <v>117500</v>
      </c>
    </row>
    <row r="12" spans="1:4" x14ac:dyDescent="0.2">
      <c r="A12" s="29">
        <v>600</v>
      </c>
      <c r="B12" s="30">
        <f t="shared" si="0"/>
        <v>213000</v>
      </c>
      <c r="C12" s="30">
        <f>Assumptions!$B$65</f>
        <v>60000</v>
      </c>
      <c r="D12" s="30">
        <f>Assumptions!$B$66*A12+Assumptions!$B$67*A12^2</f>
        <v>153000</v>
      </c>
    </row>
    <row r="13" spans="1:4" x14ac:dyDescent="0.2">
      <c r="A13" s="29">
        <v>700</v>
      </c>
      <c r="B13" s="30">
        <f t="shared" si="0"/>
        <v>252500</v>
      </c>
      <c r="C13" s="30">
        <f>Assumptions!$B$65</f>
        <v>60000</v>
      </c>
      <c r="D13" s="30">
        <f>Assumptions!$B$66*A13+Assumptions!$B$67*A13^2</f>
        <v>192500</v>
      </c>
    </row>
    <row r="14" spans="1:4" x14ac:dyDescent="0.2">
      <c r="A14" s="29">
        <v>800</v>
      </c>
      <c r="B14" s="30">
        <f t="shared" si="0"/>
        <v>296000</v>
      </c>
      <c r="C14" s="30">
        <f>Assumptions!$B$65</f>
        <v>60000</v>
      </c>
      <c r="D14" s="30">
        <f>Assumptions!$B$66*A14+Assumptions!$B$67*A14^2</f>
        <v>236000</v>
      </c>
    </row>
    <row r="15" spans="1:4" x14ac:dyDescent="0.2">
      <c r="A15" s="29">
        <v>900</v>
      </c>
      <c r="B15" s="30">
        <f t="shared" si="0"/>
        <v>343500</v>
      </c>
      <c r="C15" s="30">
        <f>Assumptions!$B$65</f>
        <v>60000</v>
      </c>
      <c r="D15" s="30">
        <f>Assumptions!$B$66*A15+Assumptions!$B$67*A15^2</f>
        <v>283500</v>
      </c>
    </row>
    <row r="16" spans="1:4" x14ac:dyDescent="0.2">
      <c r="A16" s="29">
        <v>1000</v>
      </c>
      <c r="B16" s="30">
        <f t="shared" si="0"/>
        <v>395000</v>
      </c>
      <c r="C16" s="30">
        <f>Assumptions!$B$65</f>
        <v>60000</v>
      </c>
      <c r="D16" s="30">
        <f>Assumptions!$B$66*A16+Assumptions!$B$67*A16^2</f>
        <v>335000</v>
      </c>
    </row>
    <row r="17" spans="1:4" x14ac:dyDescent="0.2">
      <c r="A17" s="29">
        <v>1100</v>
      </c>
      <c r="B17" s="30">
        <f t="shared" si="0"/>
        <v>450500</v>
      </c>
      <c r="C17" s="30">
        <f>Assumptions!$B$65</f>
        <v>60000</v>
      </c>
      <c r="D17" s="30">
        <f>Assumptions!$B$66*A17+Assumptions!$B$67*A17^2</f>
        <v>390500</v>
      </c>
    </row>
    <row r="19" spans="1:4" x14ac:dyDescent="0.2">
      <c r="A19" s="7" t="s">
        <v>202</v>
      </c>
    </row>
    <row r="20" spans="1:4" x14ac:dyDescent="0.2">
      <c r="A20" s="7" t="s">
        <v>203</v>
      </c>
    </row>
    <row r="21" spans="1:4" x14ac:dyDescent="0.2">
      <c r="A21" s="7" t="s">
        <v>204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8"/>
  <sheetViews>
    <sheetView showGridLines="0" zoomScaleNormal="100" workbookViewId="0"/>
  </sheetViews>
  <sheetFormatPr baseColWidth="10" defaultColWidth="8.6640625" defaultRowHeight="15" x14ac:dyDescent="0.2"/>
  <cols>
    <col min="1" max="1" width="12" customWidth="1"/>
    <col min="2" max="6" width="17" customWidth="1"/>
  </cols>
  <sheetData>
    <row r="1" spans="1:6" ht="18" x14ac:dyDescent="0.2">
      <c r="A1" s="1" t="s">
        <v>205</v>
      </c>
    </row>
    <row r="2" spans="1:6" x14ac:dyDescent="0.2">
      <c r="A2" s="2" t="s">
        <v>206</v>
      </c>
    </row>
    <row r="4" spans="1:6" x14ac:dyDescent="0.2">
      <c r="A4" s="31" t="s">
        <v>207</v>
      </c>
      <c r="B4" s="31" t="s">
        <v>208</v>
      </c>
      <c r="C4" s="31" t="s">
        <v>209</v>
      </c>
      <c r="D4" s="31" t="s">
        <v>210</v>
      </c>
      <c r="E4" s="31" t="s">
        <v>211</v>
      </c>
      <c r="F4" s="31" t="s">
        <v>212</v>
      </c>
    </row>
    <row r="5" spans="1:6" x14ac:dyDescent="0.2">
      <c r="A5" s="32">
        <f>'Cost Table'!A6</f>
        <v>50</v>
      </c>
      <c r="B5" s="33">
        <f>'Cost Table'!C6/'Cost Table'!A6</f>
        <v>1200</v>
      </c>
      <c r="C5" s="33">
        <f>'Cost Table'!D6/'Cost Table'!A6</f>
        <v>145</v>
      </c>
      <c r="D5" s="33">
        <f>'Cost Table'!B6/'Cost Table'!A6</f>
        <v>1345</v>
      </c>
      <c r="E5" s="33">
        <f>Assumptions!$B$66+2*Assumptions!$B$67*A5</f>
        <v>155</v>
      </c>
      <c r="F5" s="33" t="s">
        <v>213</v>
      </c>
    </row>
    <row r="6" spans="1:6" x14ac:dyDescent="0.2">
      <c r="A6" s="32">
        <f>'Cost Table'!A7</f>
        <v>100</v>
      </c>
      <c r="B6" s="33">
        <f>'Cost Table'!C7/'Cost Table'!A7</f>
        <v>600</v>
      </c>
      <c r="C6" s="33">
        <f>'Cost Table'!D7/'Cost Table'!A7</f>
        <v>155</v>
      </c>
      <c r="D6" s="33">
        <f>'Cost Table'!B7/'Cost Table'!A7</f>
        <v>755</v>
      </c>
      <c r="E6" s="33">
        <f>Assumptions!$B$66+2*Assumptions!$B$67*A6</f>
        <v>175</v>
      </c>
      <c r="F6" s="33">
        <f>('Cost Table'!B7-'Cost Table'!B6)/('Cost Table'!A7-'Cost Table'!A6)</f>
        <v>165</v>
      </c>
    </row>
    <row r="7" spans="1:6" x14ac:dyDescent="0.2">
      <c r="A7" s="32">
        <f>'Cost Table'!A8</f>
        <v>200</v>
      </c>
      <c r="B7" s="33">
        <f>'Cost Table'!C8/'Cost Table'!A8</f>
        <v>300</v>
      </c>
      <c r="C7" s="33">
        <f>'Cost Table'!D8/'Cost Table'!A8</f>
        <v>175</v>
      </c>
      <c r="D7" s="33">
        <f>'Cost Table'!B8/'Cost Table'!A8</f>
        <v>475</v>
      </c>
      <c r="E7" s="33">
        <f>Assumptions!$B$66+2*Assumptions!$B$67*A7</f>
        <v>215</v>
      </c>
      <c r="F7" s="33">
        <f>('Cost Table'!B8-'Cost Table'!B7)/('Cost Table'!A8-'Cost Table'!A7)</f>
        <v>195</v>
      </c>
    </row>
    <row r="8" spans="1:6" x14ac:dyDescent="0.2">
      <c r="A8" s="32">
        <f>'Cost Table'!A9</f>
        <v>300</v>
      </c>
      <c r="B8" s="33">
        <f>'Cost Table'!C9/'Cost Table'!A9</f>
        <v>200</v>
      </c>
      <c r="C8" s="33">
        <f>'Cost Table'!D9/'Cost Table'!A9</f>
        <v>195</v>
      </c>
      <c r="D8" s="33">
        <f>'Cost Table'!B9/'Cost Table'!A9</f>
        <v>395</v>
      </c>
      <c r="E8" s="33">
        <f>Assumptions!$B$66+2*Assumptions!$B$67*A8</f>
        <v>255</v>
      </c>
      <c r="F8" s="33">
        <f>('Cost Table'!B9-'Cost Table'!B8)/('Cost Table'!A9-'Cost Table'!A8)</f>
        <v>235</v>
      </c>
    </row>
    <row r="9" spans="1:6" x14ac:dyDescent="0.2">
      <c r="A9" s="32">
        <f>'Cost Table'!A10</f>
        <v>400</v>
      </c>
      <c r="B9" s="33">
        <f>'Cost Table'!C10/'Cost Table'!A10</f>
        <v>150</v>
      </c>
      <c r="C9" s="33">
        <f>'Cost Table'!D10/'Cost Table'!A10</f>
        <v>215</v>
      </c>
      <c r="D9" s="33">
        <f>'Cost Table'!B10/'Cost Table'!A10</f>
        <v>365</v>
      </c>
      <c r="E9" s="33">
        <f>Assumptions!$B$66+2*Assumptions!$B$67*A9</f>
        <v>295</v>
      </c>
      <c r="F9" s="33">
        <f>('Cost Table'!B10-'Cost Table'!B9)/('Cost Table'!A10-'Cost Table'!A9)</f>
        <v>275</v>
      </c>
    </row>
    <row r="10" spans="1:6" x14ac:dyDescent="0.2">
      <c r="A10" s="32">
        <f>'Cost Table'!A11</f>
        <v>500</v>
      </c>
      <c r="B10" s="33">
        <f>'Cost Table'!C11/'Cost Table'!A11</f>
        <v>120</v>
      </c>
      <c r="C10" s="33">
        <f>'Cost Table'!D11/'Cost Table'!A11</f>
        <v>235</v>
      </c>
      <c r="D10" s="33">
        <f>'Cost Table'!B11/'Cost Table'!A11</f>
        <v>355</v>
      </c>
      <c r="E10" s="33">
        <f>Assumptions!$B$66+2*Assumptions!$B$67*A10</f>
        <v>335</v>
      </c>
      <c r="F10" s="33">
        <f>('Cost Table'!B11-'Cost Table'!B10)/('Cost Table'!A11-'Cost Table'!A10)</f>
        <v>315</v>
      </c>
    </row>
    <row r="11" spans="1:6" x14ac:dyDescent="0.2">
      <c r="A11" s="32">
        <f>'Cost Table'!A12</f>
        <v>600</v>
      </c>
      <c r="B11" s="33">
        <f>'Cost Table'!C12/'Cost Table'!A12</f>
        <v>100</v>
      </c>
      <c r="C11" s="33">
        <f>'Cost Table'!D12/'Cost Table'!A12</f>
        <v>255</v>
      </c>
      <c r="D11" s="33">
        <f>'Cost Table'!B12/'Cost Table'!A12</f>
        <v>355</v>
      </c>
      <c r="E11" s="33">
        <f>Assumptions!$B$66+2*Assumptions!$B$67*A11</f>
        <v>375</v>
      </c>
      <c r="F11" s="33">
        <f>('Cost Table'!B12-'Cost Table'!B11)/('Cost Table'!A12-'Cost Table'!A11)</f>
        <v>355</v>
      </c>
    </row>
    <row r="12" spans="1:6" x14ac:dyDescent="0.2">
      <c r="A12" s="32">
        <f>'Cost Table'!A13</f>
        <v>700</v>
      </c>
      <c r="B12" s="33">
        <f>'Cost Table'!C13/'Cost Table'!A13</f>
        <v>85.714285714285708</v>
      </c>
      <c r="C12" s="33">
        <f>'Cost Table'!D13/'Cost Table'!A13</f>
        <v>275</v>
      </c>
      <c r="D12" s="33">
        <f>'Cost Table'!B13/'Cost Table'!A13</f>
        <v>360.71428571428572</v>
      </c>
      <c r="E12" s="33">
        <f>Assumptions!$B$66+2*Assumptions!$B$67*A12</f>
        <v>415</v>
      </c>
      <c r="F12" s="33">
        <f>('Cost Table'!B13-'Cost Table'!B12)/('Cost Table'!A13-'Cost Table'!A12)</f>
        <v>395</v>
      </c>
    </row>
    <row r="13" spans="1:6" x14ac:dyDescent="0.2">
      <c r="A13" s="32">
        <f>'Cost Table'!A14</f>
        <v>800</v>
      </c>
      <c r="B13" s="33">
        <f>'Cost Table'!C14/'Cost Table'!A14</f>
        <v>75</v>
      </c>
      <c r="C13" s="33">
        <f>'Cost Table'!D14/'Cost Table'!A14</f>
        <v>295</v>
      </c>
      <c r="D13" s="33">
        <f>'Cost Table'!B14/'Cost Table'!A14</f>
        <v>370</v>
      </c>
      <c r="E13" s="33">
        <f>Assumptions!$B$66+2*Assumptions!$B$67*A13</f>
        <v>455</v>
      </c>
      <c r="F13" s="33">
        <f>('Cost Table'!B14-'Cost Table'!B13)/('Cost Table'!A14-'Cost Table'!A13)</f>
        <v>435</v>
      </c>
    </row>
    <row r="14" spans="1:6" x14ac:dyDescent="0.2">
      <c r="A14" s="32">
        <f>'Cost Table'!A15</f>
        <v>900</v>
      </c>
      <c r="B14" s="33">
        <f>'Cost Table'!C15/'Cost Table'!A15</f>
        <v>66.666666666666671</v>
      </c>
      <c r="C14" s="33">
        <f>'Cost Table'!D15/'Cost Table'!A15</f>
        <v>315</v>
      </c>
      <c r="D14" s="33">
        <f>'Cost Table'!B15/'Cost Table'!A15</f>
        <v>381.66666666666669</v>
      </c>
      <c r="E14" s="33">
        <f>Assumptions!$B$66+2*Assumptions!$B$67*A14</f>
        <v>495</v>
      </c>
      <c r="F14" s="33">
        <f>('Cost Table'!B15-'Cost Table'!B14)/('Cost Table'!A15-'Cost Table'!A14)</f>
        <v>475</v>
      </c>
    </row>
    <row r="15" spans="1:6" x14ac:dyDescent="0.2">
      <c r="A15" s="32">
        <f>'Cost Table'!A16</f>
        <v>1000</v>
      </c>
      <c r="B15" s="33">
        <f>'Cost Table'!C16/'Cost Table'!A16</f>
        <v>60</v>
      </c>
      <c r="C15" s="33">
        <f>'Cost Table'!D16/'Cost Table'!A16</f>
        <v>335</v>
      </c>
      <c r="D15" s="33">
        <f>'Cost Table'!B16/'Cost Table'!A16</f>
        <v>395</v>
      </c>
      <c r="E15" s="33">
        <f>Assumptions!$B$66+2*Assumptions!$B$67*A15</f>
        <v>535</v>
      </c>
      <c r="F15" s="33">
        <f>('Cost Table'!B16-'Cost Table'!B15)/('Cost Table'!A16-'Cost Table'!A15)</f>
        <v>515</v>
      </c>
    </row>
    <row r="16" spans="1:6" x14ac:dyDescent="0.2">
      <c r="A16" s="32">
        <f>'Cost Table'!A17</f>
        <v>1100</v>
      </c>
      <c r="B16" s="33">
        <f>'Cost Table'!C17/'Cost Table'!A17</f>
        <v>54.545454545454547</v>
      </c>
      <c r="C16" s="33">
        <f>'Cost Table'!D17/'Cost Table'!A17</f>
        <v>355</v>
      </c>
      <c r="D16" s="33">
        <f>'Cost Table'!B17/'Cost Table'!A17</f>
        <v>409.54545454545456</v>
      </c>
      <c r="E16" s="33">
        <f>Assumptions!$B$66+2*Assumptions!$B$67*A16</f>
        <v>575</v>
      </c>
      <c r="F16" s="33">
        <f>('Cost Table'!B17-'Cost Table'!B16)/('Cost Table'!A17-'Cost Table'!A16)</f>
        <v>555</v>
      </c>
    </row>
    <row r="18" spans="1:8" x14ac:dyDescent="0.2">
      <c r="A18" s="7" t="s">
        <v>214</v>
      </c>
    </row>
    <row r="19" spans="1:8" x14ac:dyDescent="0.2">
      <c r="A19" s="7" t="s">
        <v>215</v>
      </c>
    </row>
    <row r="28" spans="1:8" x14ac:dyDescent="0.2">
      <c r="H28" s="7" t="s">
        <v>216</v>
      </c>
    </row>
  </sheetData>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1"/>
  <sheetViews>
    <sheetView showGridLines="0" zoomScaleNormal="100" workbookViewId="0"/>
  </sheetViews>
  <sheetFormatPr baseColWidth="10" defaultColWidth="8.6640625" defaultRowHeight="15" x14ac:dyDescent="0.2"/>
  <cols>
    <col min="1" max="1" width="32" customWidth="1"/>
    <col min="2" max="2" width="30" customWidth="1"/>
    <col min="3" max="3" width="10" customWidth="1"/>
    <col min="4" max="11" width="15" customWidth="1"/>
    <col min="12" max="12" width="13" customWidth="1"/>
  </cols>
  <sheetData>
    <row r="1" spans="1:12" ht="18" x14ac:dyDescent="0.2">
      <c r="A1" s="1" t="s">
        <v>217</v>
      </c>
    </row>
    <row r="2" spans="1:12" x14ac:dyDescent="0.2">
      <c r="A2" s="2" t="s">
        <v>218</v>
      </c>
    </row>
    <row r="3" spans="1:12" x14ac:dyDescent="0.2">
      <c r="A3" s="3" t="s">
        <v>219</v>
      </c>
    </row>
    <row r="5" spans="1:12" x14ac:dyDescent="0.2">
      <c r="A5" s="8" t="s">
        <v>128</v>
      </c>
      <c r="B5" s="14">
        <f>Assumptions!$B$65/Assumptions!$B$8+Assumptions!$B$66+Assumptions!$B$67*Assumptions!$B$8</f>
        <v>374.42857142857144</v>
      </c>
      <c r="C5" s="7" t="s">
        <v>220</v>
      </c>
    </row>
    <row r="6" spans="1:12" x14ac:dyDescent="0.2">
      <c r="A6" s="5" t="s">
        <v>221</v>
      </c>
      <c r="B6" s="21">
        <f>Assumptions!$B$78</f>
        <v>0.1</v>
      </c>
      <c r="C6" s="7" t="s">
        <v>222</v>
      </c>
    </row>
    <row r="7" spans="1:12" x14ac:dyDescent="0.2">
      <c r="A7" s="5" t="s">
        <v>7</v>
      </c>
      <c r="B7" s="23">
        <f>Assumptions!$B$7</f>
        <v>21</v>
      </c>
      <c r="C7" s="7" t="s">
        <v>223</v>
      </c>
    </row>
    <row r="9" spans="1:12" ht="42" customHeight="1" x14ac:dyDescent="0.2">
      <c r="A9" s="34" t="s">
        <v>224</v>
      </c>
      <c r="B9" s="34" t="s">
        <v>225</v>
      </c>
      <c r="C9" s="34" t="s">
        <v>226</v>
      </c>
      <c r="D9" s="34" t="s">
        <v>227</v>
      </c>
      <c r="E9" s="34" t="s">
        <v>228</v>
      </c>
      <c r="F9" s="34" t="s">
        <v>229</v>
      </c>
      <c r="G9" s="34" t="s">
        <v>230</v>
      </c>
      <c r="H9" s="34" t="s">
        <v>231</v>
      </c>
      <c r="I9" s="34" t="s">
        <v>232</v>
      </c>
      <c r="J9" s="34" t="s">
        <v>233</v>
      </c>
      <c r="K9" s="34" t="s">
        <v>234</v>
      </c>
      <c r="L9" s="34" t="s">
        <v>235</v>
      </c>
    </row>
    <row r="10" spans="1:12" x14ac:dyDescent="0.2">
      <c r="A10" s="35" t="s">
        <v>236</v>
      </c>
      <c r="B10" s="35" t="s">
        <v>237</v>
      </c>
      <c r="C10" s="36">
        <v>45</v>
      </c>
      <c r="D10" s="37">
        <v>10.45</v>
      </c>
      <c r="E10" s="37">
        <v>15</v>
      </c>
      <c r="F10" s="33">
        <f t="shared" ref="F10:F19" si="0">D10*2000/C10</f>
        <v>464.44444444444446</v>
      </c>
      <c r="G10" s="33">
        <f t="shared" ref="G10:G19" si="1">E10*2000/C10</f>
        <v>666.66666666666663</v>
      </c>
      <c r="H10" s="33">
        <f t="shared" ref="H10:H19" si="2">F10*(1-$B$6)</f>
        <v>418</v>
      </c>
      <c r="I10" s="33">
        <f t="shared" ref="I10:I19" si="3">G10*(1-$B$6)</f>
        <v>600</v>
      </c>
      <c r="J10" s="33">
        <f t="shared" ref="J10:J19" si="4">(H10-$B$5)*$B$7</f>
        <v>914.99999999999966</v>
      </c>
      <c r="K10" s="33">
        <f t="shared" ref="K10:K19" si="5">(I10-$B$5)*$B$7</f>
        <v>4737</v>
      </c>
      <c r="L10" s="38" t="str">
        <f t="shared" ref="L10:L19" si="6">IF(J10&gt;0,"Yes","No")</f>
        <v>Yes</v>
      </c>
    </row>
    <row r="11" spans="1:12" x14ac:dyDescent="0.2">
      <c r="A11" s="35" t="s">
        <v>236</v>
      </c>
      <c r="B11" s="35" t="s">
        <v>238</v>
      </c>
      <c r="C11" s="36">
        <v>45</v>
      </c>
      <c r="D11" s="37">
        <v>14.45</v>
      </c>
      <c r="E11" s="37">
        <v>18.55</v>
      </c>
      <c r="F11" s="33">
        <f t="shared" si="0"/>
        <v>642.22222222222217</v>
      </c>
      <c r="G11" s="33">
        <f t="shared" si="1"/>
        <v>824.44444444444446</v>
      </c>
      <c r="H11" s="33">
        <f t="shared" si="2"/>
        <v>578</v>
      </c>
      <c r="I11" s="33">
        <f t="shared" si="3"/>
        <v>742</v>
      </c>
      <c r="J11" s="33">
        <f t="shared" si="4"/>
        <v>4275</v>
      </c>
      <c r="K11" s="33">
        <f t="shared" si="5"/>
        <v>7719</v>
      </c>
      <c r="L11" s="38" t="str">
        <f t="shared" si="6"/>
        <v>Yes</v>
      </c>
    </row>
    <row r="12" spans="1:12" x14ac:dyDescent="0.2">
      <c r="A12" s="35" t="s">
        <v>239</v>
      </c>
      <c r="B12" s="35" t="s">
        <v>237</v>
      </c>
      <c r="C12" s="36">
        <v>50</v>
      </c>
      <c r="D12" s="37">
        <v>14</v>
      </c>
      <c r="E12" s="37">
        <v>16</v>
      </c>
      <c r="F12" s="33">
        <f t="shared" si="0"/>
        <v>560</v>
      </c>
      <c r="G12" s="33">
        <f t="shared" si="1"/>
        <v>640</v>
      </c>
      <c r="H12" s="33">
        <f t="shared" si="2"/>
        <v>504</v>
      </c>
      <c r="I12" s="33">
        <f t="shared" si="3"/>
        <v>576</v>
      </c>
      <c r="J12" s="33">
        <f t="shared" si="4"/>
        <v>2720.9999999999995</v>
      </c>
      <c r="K12" s="33">
        <f t="shared" si="5"/>
        <v>4233</v>
      </c>
      <c r="L12" s="38" t="str">
        <f t="shared" si="6"/>
        <v>Yes</v>
      </c>
    </row>
    <row r="13" spans="1:12" x14ac:dyDescent="0.2">
      <c r="A13" s="35" t="s">
        <v>239</v>
      </c>
      <c r="B13" s="35" t="s">
        <v>240</v>
      </c>
      <c r="C13" s="36">
        <v>50</v>
      </c>
      <c r="D13" s="37">
        <v>10</v>
      </c>
      <c r="E13" s="37">
        <v>12</v>
      </c>
      <c r="F13" s="33">
        <f t="shared" si="0"/>
        <v>400</v>
      </c>
      <c r="G13" s="33">
        <f t="shared" si="1"/>
        <v>480</v>
      </c>
      <c r="H13" s="33">
        <f t="shared" si="2"/>
        <v>360</v>
      </c>
      <c r="I13" s="33">
        <f t="shared" si="3"/>
        <v>432</v>
      </c>
      <c r="J13" s="33">
        <f t="shared" si="4"/>
        <v>-303.00000000000034</v>
      </c>
      <c r="K13" s="33">
        <f t="shared" si="5"/>
        <v>1208.9999999999995</v>
      </c>
      <c r="L13" s="38" t="str">
        <f t="shared" si="6"/>
        <v>No</v>
      </c>
    </row>
    <row r="14" spans="1:12" x14ac:dyDescent="0.2">
      <c r="A14" s="35" t="s">
        <v>241</v>
      </c>
      <c r="B14" s="35" t="s">
        <v>242</v>
      </c>
      <c r="C14" s="36">
        <v>50</v>
      </c>
      <c r="D14" s="37">
        <v>10</v>
      </c>
      <c r="E14" s="37">
        <v>12</v>
      </c>
      <c r="F14" s="33">
        <f t="shared" si="0"/>
        <v>400</v>
      </c>
      <c r="G14" s="33">
        <f t="shared" si="1"/>
        <v>480</v>
      </c>
      <c r="H14" s="33">
        <f t="shared" si="2"/>
        <v>360</v>
      </c>
      <c r="I14" s="33">
        <f t="shared" si="3"/>
        <v>432</v>
      </c>
      <c r="J14" s="33">
        <f t="shared" si="4"/>
        <v>-303.00000000000034</v>
      </c>
      <c r="K14" s="33">
        <f t="shared" si="5"/>
        <v>1208.9999999999995</v>
      </c>
      <c r="L14" s="38" t="str">
        <f t="shared" si="6"/>
        <v>No</v>
      </c>
    </row>
    <row r="15" spans="1:12" x14ac:dyDescent="0.2">
      <c r="A15" s="35" t="s">
        <v>243</v>
      </c>
      <c r="B15" s="35" t="s">
        <v>237</v>
      </c>
      <c r="C15" s="36">
        <v>50</v>
      </c>
      <c r="D15" s="37">
        <v>7</v>
      </c>
      <c r="E15" s="37">
        <v>9</v>
      </c>
      <c r="F15" s="33">
        <f t="shared" si="0"/>
        <v>280</v>
      </c>
      <c r="G15" s="33">
        <f t="shared" si="1"/>
        <v>360</v>
      </c>
      <c r="H15" s="33">
        <f t="shared" si="2"/>
        <v>252</v>
      </c>
      <c r="I15" s="33">
        <f t="shared" si="3"/>
        <v>324</v>
      </c>
      <c r="J15" s="33">
        <f t="shared" si="4"/>
        <v>-2571.0000000000005</v>
      </c>
      <c r="K15" s="33">
        <f t="shared" si="5"/>
        <v>-1059.0000000000005</v>
      </c>
      <c r="L15" s="38" t="str">
        <f t="shared" si="6"/>
        <v>No</v>
      </c>
    </row>
    <row r="16" spans="1:12" x14ac:dyDescent="0.2">
      <c r="A16" s="35" t="s">
        <v>243</v>
      </c>
      <c r="B16" s="35" t="s">
        <v>240</v>
      </c>
      <c r="C16" s="36">
        <v>50</v>
      </c>
      <c r="D16" s="37">
        <v>6</v>
      </c>
      <c r="E16" s="37">
        <v>7</v>
      </c>
      <c r="F16" s="33">
        <f t="shared" si="0"/>
        <v>240</v>
      </c>
      <c r="G16" s="33">
        <f t="shared" si="1"/>
        <v>280</v>
      </c>
      <c r="H16" s="33">
        <f t="shared" si="2"/>
        <v>216</v>
      </c>
      <c r="I16" s="33">
        <f t="shared" si="3"/>
        <v>252</v>
      </c>
      <c r="J16" s="33">
        <f t="shared" si="4"/>
        <v>-3327.0000000000005</v>
      </c>
      <c r="K16" s="33">
        <f t="shared" si="5"/>
        <v>-2571.0000000000005</v>
      </c>
      <c r="L16" s="38" t="str">
        <f t="shared" si="6"/>
        <v>No</v>
      </c>
    </row>
    <row r="17" spans="1:12" x14ac:dyDescent="0.2">
      <c r="A17" s="35" t="s">
        <v>244</v>
      </c>
      <c r="B17" s="35" t="s">
        <v>245</v>
      </c>
      <c r="C17" s="36">
        <v>45</v>
      </c>
      <c r="D17" s="37">
        <v>18</v>
      </c>
      <c r="E17" s="37">
        <v>26</v>
      </c>
      <c r="F17" s="33">
        <f t="shared" si="0"/>
        <v>800</v>
      </c>
      <c r="G17" s="33">
        <f t="shared" si="1"/>
        <v>1155.5555555555557</v>
      </c>
      <c r="H17" s="33">
        <f t="shared" si="2"/>
        <v>720</v>
      </c>
      <c r="I17" s="33">
        <f t="shared" si="3"/>
        <v>1040.0000000000002</v>
      </c>
      <c r="J17" s="33">
        <f t="shared" si="4"/>
        <v>7257</v>
      </c>
      <c r="K17" s="33">
        <f t="shared" si="5"/>
        <v>13977.000000000004</v>
      </c>
      <c r="L17" s="38" t="str">
        <f t="shared" si="6"/>
        <v>Yes</v>
      </c>
    </row>
    <row r="18" spans="1:12" x14ac:dyDescent="0.2">
      <c r="A18" s="35" t="s">
        <v>244</v>
      </c>
      <c r="B18" s="35" t="s">
        <v>246</v>
      </c>
      <c r="C18" s="36">
        <v>45</v>
      </c>
      <c r="D18" s="37">
        <v>20</v>
      </c>
      <c r="E18" s="37">
        <v>26</v>
      </c>
      <c r="F18" s="33">
        <f t="shared" si="0"/>
        <v>888.88888888888891</v>
      </c>
      <c r="G18" s="33">
        <f t="shared" si="1"/>
        <v>1155.5555555555557</v>
      </c>
      <c r="H18" s="33">
        <f t="shared" si="2"/>
        <v>800</v>
      </c>
      <c r="I18" s="33">
        <f t="shared" si="3"/>
        <v>1040.0000000000002</v>
      </c>
      <c r="J18" s="33">
        <f t="shared" si="4"/>
        <v>8937</v>
      </c>
      <c r="K18" s="33">
        <f t="shared" si="5"/>
        <v>13977.000000000004</v>
      </c>
      <c r="L18" s="38" t="str">
        <f t="shared" si="6"/>
        <v>Yes</v>
      </c>
    </row>
    <row r="19" spans="1:12" x14ac:dyDescent="0.2">
      <c r="A19" s="35" t="s">
        <v>247</v>
      </c>
      <c r="B19" s="35" t="s">
        <v>248</v>
      </c>
      <c r="C19" s="36">
        <v>50</v>
      </c>
      <c r="D19" s="37">
        <v>11.83</v>
      </c>
      <c r="E19" s="37">
        <v>11.83</v>
      </c>
      <c r="F19" s="33">
        <f t="shared" si="0"/>
        <v>473.2</v>
      </c>
      <c r="G19" s="33">
        <f t="shared" si="1"/>
        <v>473.2</v>
      </c>
      <c r="H19" s="33">
        <f t="shared" si="2"/>
        <v>425.88</v>
      </c>
      <c r="I19" s="33">
        <f t="shared" si="3"/>
        <v>425.88</v>
      </c>
      <c r="J19" s="33">
        <f t="shared" si="4"/>
        <v>1080.4799999999996</v>
      </c>
      <c r="K19" s="33">
        <f t="shared" si="5"/>
        <v>1080.4799999999996</v>
      </c>
      <c r="L19" s="38" t="str">
        <f t="shared" si="6"/>
        <v>Yes</v>
      </c>
    </row>
    <row r="21" spans="1:12" x14ac:dyDescent="0.2">
      <c r="A21" s="3" t="s">
        <v>249</v>
      </c>
    </row>
    <row r="22" spans="1:12" x14ac:dyDescent="0.2">
      <c r="A22" s="27" t="s">
        <v>250</v>
      </c>
    </row>
    <row r="23" spans="1:12" x14ac:dyDescent="0.2">
      <c r="A23" s="27" t="s">
        <v>251</v>
      </c>
    </row>
    <row r="25" spans="1:12" x14ac:dyDescent="0.2">
      <c r="A25" s="3" t="s">
        <v>252</v>
      </c>
    </row>
    <row r="26" spans="1:12" x14ac:dyDescent="0.2">
      <c r="A26" s="27" t="s">
        <v>253</v>
      </c>
    </row>
    <row r="27" spans="1:12" x14ac:dyDescent="0.2">
      <c r="A27" s="27" t="s">
        <v>254</v>
      </c>
    </row>
    <row r="29" spans="1:12" x14ac:dyDescent="0.2">
      <c r="A29" s="3" t="s">
        <v>255</v>
      </c>
    </row>
    <row r="30" spans="1:12" x14ac:dyDescent="0.2">
      <c r="A30" s="27" t="s">
        <v>256</v>
      </c>
    </row>
    <row r="31" spans="1:12" x14ac:dyDescent="0.2">
      <c r="A31" s="27" t="s">
        <v>257</v>
      </c>
    </row>
  </sheetData>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6"/>
  <sheetViews>
    <sheetView showGridLines="0" tabSelected="1" zoomScaleNormal="100" workbookViewId="0">
      <selection activeCell="E8" sqref="E8"/>
    </sheetView>
  </sheetViews>
  <sheetFormatPr baseColWidth="10" defaultColWidth="8.6640625" defaultRowHeight="15" x14ac:dyDescent="0.2"/>
  <cols>
    <col min="1" max="1" width="12" customWidth="1"/>
    <col min="2" max="2" width="15" customWidth="1"/>
    <col min="3" max="3" width="3" customWidth="1"/>
    <col min="4" max="4" width="12" customWidth="1"/>
    <col min="5" max="5" width="15" customWidth="1"/>
    <col min="6" max="6" width="12" customWidth="1"/>
    <col min="7" max="7" width="15" customWidth="1"/>
    <col min="8" max="8" width="3" customWidth="1"/>
  </cols>
  <sheetData>
    <row r="1" spans="1:7" ht="18" x14ac:dyDescent="0.2">
      <c r="A1" s="1" t="s">
        <v>258</v>
      </c>
    </row>
    <row r="2" spans="1:7" ht="16" x14ac:dyDescent="0.2">
      <c r="A2" s="39" t="str">
        <f>"TC = "&amp;TEXT(Assumptions!B65,"#,##0")&amp;" + "&amp;TEXT(Assumptions!B66,"0.00")&amp;"Q + "&amp;TEXT(Assumptions!B67,"0.0000")&amp;"Q²"</f>
        <v>TC = 60,000 + 135.00Q + 0.2000Q²</v>
      </c>
    </row>
    <row r="3" spans="1:7" x14ac:dyDescent="0.2">
      <c r="A3" s="7" t="s">
        <v>259</v>
      </c>
    </row>
    <row r="4" spans="1:7" x14ac:dyDescent="0.2">
      <c r="A4" s="7" t="s">
        <v>260</v>
      </c>
    </row>
    <row r="5" spans="1:7" x14ac:dyDescent="0.2">
      <c r="A5" s="7" t="s">
        <v>261</v>
      </c>
    </row>
    <row r="7" spans="1:7" x14ac:dyDescent="0.2">
      <c r="A7" s="12" t="s">
        <v>207</v>
      </c>
      <c r="B7" s="12" t="s">
        <v>262</v>
      </c>
      <c r="D7" s="8" t="s">
        <v>263</v>
      </c>
      <c r="E7" s="40">
        <v>1.5</v>
      </c>
      <c r="F7" s="7" t="s">
        <v>264</v>
      </c>
    </row>
    <row r="8" spans="1:7" x14ac:dyDescent="0.2">
      <c r="A8" s="41">
        <v>0</v>
      </c>
      <c r="B8" s="41">
        <f>Assumptions!$B$65+Assumptions!$B$66*A8+Assumptions!$B$67*A8^2</f>
        <v>60000</v>
      </c>
    </row>
    <row r="9" spans="1:7" x14ac:dyDescent="0.2">
      <c r="A9" s="41">
        <v>25</v>
      </c>
      <c r="B9" s="41">
        <f>Assumptions!$B$65+Assumptions!$B$66*A9+Assumptions!$B$67*A9^2</f>
        <v>63500</v>
      </c>
      <c r="D9" s="42" t="s">
        <v>207</v>
      </c>
      <c r="E9" s="42" t="s">
        <v>265</v>
      </c>
      <c r="F9" s="42" t="s">
        <v>266</v>
      </c>
      <c r="G9" s="42" t="s">
        <v>267</v>
      </c>
    </row>
    <row r="10" spans="1:7" x14ac:dyDescent="0.2">
      <c r="A10" s="41">
        <v>50</v>
      </c>
      <c r="B10" s="41">
        <f>Assumptions!$B$65+Assumptions!$B$66*A10+Assumptions!$B$67*A10^2</f>
        <v>67250</v>
      </c>
      <c r="D10" s="43">
        <f>'Cost Table'!A6</f>
        <v>50</v>
      </c>
      <c r="E10" s="43">
        <f>'Cost Table'!B6</f>
        <v>67250</v>
      </c>
      <c r="F10" s="44">
        <v>5.4999999999999997E-3</v>
      </c>
      <c r="G10" s="43">
        <f t="shared" ref="G10:G21" si="0">E10*(1+$E$7*F10)</f>
        <v>67804.8125</v>
      </c>
    </row>
    <row r="11" spans="1:7" x14ac:dyDescent="0.2">
      <c r="A11" s="41">
        <v>75</v>
      </c>
      <c r="B11" s="41">
        <f>Assumptions!$B$65+Assumptions!$B$66*A11+Assumptions!$B$67*A11^2</f>
        <v>71250</v>
      </c>
      <c r="D11" s="43">
        <f>'Cost Table'!A7</f>
        <v>100</v>
      </c>
      <c r="E11" s="43">
        <f>'Cost Table'!B7</f>
        <v>75500</v>
      </c>
      <c r="F11" s="44">
        <v>-3.4099999999999998E-2</v>
      </c>
      <c r="G11" s="43">
        <f t="shared" si="0"/>
        <v>71638.175000000003</v>
      </c>
    </row>
    <row r="12" spans="1:7" x14ac:dyDescent="0.2">
      <c r="A12" s="41">
        <v>100</v>
      </c>
      <c r="B12" s="41">
        <f>Assumptions!$B$65+Assumptions!$B$66*A12+Assumptions!$B$67*A12^2</f>
        <v>75500</v>
      </c>
      <c r="D12" s="43">
        <f>'Cost Table'!A8</f>
        <v>200</v>
      </c>
      <c r="E12" s="43">
        <f>'Cost Table'!B8</f>
        <v>95000</v>
      </c>
      <c r="F12" s="44">
        <v>3.1699999999999999E-2</v>
      </c>
      <c r="G12" s="43">
        <f t="shared" si="0"/>
        <v>99517.25</v>
      </c>
    </row>
    <row r="13" spans="1:7" x14ac:dyDescent="0.2">
      <c r="A13" s="41">
        <v>125</v>
      </c>
      <c r="B13" s="41">
        <f>Assumptions!$B$65+Assumptions!$B$66*A13+Assumptions!$B$67*A13^2</f>
        <v>80000</v>
      </c>
      <c r="D13" s="43">
        <f>'Cost Table'!A9</f>
        <v>300</v>
      </c>
      <c r="E13" s="43">
        <f>'Cost Table'!B9</f>
        <v>118500</v>
      </c>
      <c r="F13" s="44">
        <v>-4.7999999999999996E-3</v>
      </c>
      <c r="G13" s="43">
        <f t="shared" si="0"/>
        <v>117646.8</v>
      </c>
    </row>
    <row r="14" spans="1:7" x14ac:dyDescent="0.2">
      <c r="A14" s="41">
        <v>150</v>
      </c>
      <c r="B14" s="41">
        <f>Assumptions!$B$65+Assumptions!$B$66*A14+Assumptions!$B$67*A14^2</f>
        <v>84750</v>
      </c>
      <c r="D14" s="43">
        <f>'Cost Table'!A10</f>
        <v>400</v>
      </c>
      <c r="E14" s="43">
        <f>'Cost Table'!B10</f>
        <v>146000</v>
      </c>
      <c r="F14" s="44">
        <v>-2.3599999999999999E-2</v>
      </c>
      <c r="G14" s="43">
        <f t="shared" si="0"/>
        <v>140831.6</v>
      </c>
    </row>
    <row r="15" spans="1:7" x14ac:dyDescent="0.2">
      <c r="A15" s="41">
        <v>175</v>
      </c>
      <c r="B15" s="41">
        <f>Assumptions!$B$65+Assumptions!$B$66*A15+Assumptions!$B$67*A15^2</f>
        <v>89750</v>
      </c>
      <c r="D15" s="43">
        <f>'Cost Table'!A11</f>
        <v>500</v>
      </c>
      <c r="E15" s="43">
        <f>'Cost Table'!B11</f>
        <v>177500</v>
      </c>
      <c r="F15" s="44">
        <v>-2.8999999999999998E-3</v>
      </c>
      <c r="G15" s="43">
        <f t="shared" si="0"/>
        <v>176727.875</v>
      </c>
    </row>
    <row r="16" spans="1:7" x14ac:dyDescent="0.2">
      <c r="A16" s="41">
        <v>200</v>
      </c>
      <c r="B16" s="41">
        <f>Assumptions!$B$65+Assumptions!$B$66*A16+Assumptions!$B$67*A16^2</f>
        <v>95000</v>
      </c>
      <c r="D16" s="43">
        <f>'Cost Table'!A12</f>
        <v>600</v>
      </c>
      <c r="E16" s="43">
        <f>'Cost Table'!B12</f>
        <v>213000</v>
      </c>
      <c r="F16" s="44">
        <v>2.64E-2</v>
      </c>
      <c r="G16" s="43">
        <f t="shared" si="0"/>
        <v>221434.80000000002</v>
      </c>
    </row>
    <row r="17" spans="1:7" x14ac:dyDescent="0.2">
      <c r="A17" s="41">
        <v>225</v>
      </c>
      <c r="B17" s="41">
        <f>Assumptions!$B$65+Assumptions!$B$66*A17+Assumptions!$B$67*A17^2</f>
        <v>100500</v>
      </c>
      <c r="D17" s="43">
        <f>'Cost Table'!A13</f>
        <v>700</v>
      </c>
      <c r="E17" s="43">
        <f>'Cost Table'!B13</f>
        <v>252500</v>
      </c>
      <c r="F17" s="44">
        <v>3.4299999999999997E-2</v>
      </c>
      <c r="G17" s="43">
        <f t="shared" si="0"/>
        <v>265491.125</v>
      </c>
    </row>
    <row r="18" spans="1:7" x14ac:dyDescent="0.2">
      <c r="A18" s="41">
        <v>250</v>
      </c>
      <c r="B18" s="41">
        <f>Assumptions!$B$65+Assumptions!$B$66*A18+Assumptions!$B$67*A18^2</f>
        <v>106250</v>
      </c>
      <c r="D18" s="43">
        <f>'Cost Table'!A14</f>
        <v>800</v>
      </c>
      <c r="E18" s="43">
        <f>'Cost Table'!B14</f>
        <v>296000</v>
      </c>
      <c r="F18" s="44">
        <v>2E-3</v>
      </c>
      <c r="G18" s="43">
        <f t="shared" si="0"/>
        <v>296887.99999999994</v>
      </c>
    </row>
    <row r="19" spans="1:7" x14ac:dyDescent="0.2">
      <c r="A19" s="41">
        <v>275</v>
      </c>
      <c r="B19" s="41">
        <f>Assumptions!$B$65+Assumptions!$B$66*A19+Assumptions!$B$67*A19^2</f>
        <v>112250</v>
      </c>
      <c r="D19" s="43">
        <f>'Cost Table'!A15</f>
        <v>900</v>
      </c>
      <c r="E19" s="43">
        <f>'Cost Table'!B15</f>
        <v>343500</v>
      </c>
      <c r="F19" s="44">
        <v>2.8999999999999998E-3</v>
      </c>
      <c r="G19" s="43">
        <f t="shared" si="0"/>
        <v>344994.22500000003</v>
      </c>
    </row>
    <row r="20" spans="1:7" x14ac:dyDescent="0.2">
      <c r="A20" s="41">
        <v>300</v>
      </c>
      <c r="B20" s="41">
        <f>Assumptions!$B$65+Assumptions!$B$66*A20+Assumptions!$B$67*A20^2</f>
        <v>118500</v>
      </c>
      <c r="D20" s="43">
        <f>'Cost Table'!A16</f>
        <v>1000</v>
      </c>
      <c r="E20" s="43">
        <f>'Cost Table'!B16</f>
        <v>395000</v>
      </c>
      <c r="F20" s="44">
        <v>-2.4299999999999999E-2</v>
      </c>
      <c r="G20" s="43">
        <f t="shared" si="0"/>
        <v>380602.25</v>
      </c>
    </row>
    <row r="21" spans="1:7" x14ac:dyDescent="0.2">
      <c r="A21" s="41">
        <v>325</v>
      </c>
      <c r="B21" s="41">
        <f>Assumptions!$B$65+Assumptions!$B$66*A21+Assumptions!$B$67*A21^2</f>
        <v>125000</v>
      </c>
      <c r="D21" s="43">
        <f>'Cost Table'!A17</f>
        <v>1100</v>
      </c>
      <c r="E21" s="43">
        <f>'Cost Table'!B17</f>
        <v>450500</v>
      </c>
      <c r="F21" s="44">
        <v>-3.3399999999999999E-2</v>
      </c>
      <c r="G21" s="43">
        <f t="shared" si="0"/>
        <v>427929.95</v>
      </c>
    </row>
    <row r="22" spans="1:7" x14ac:dyDescent="0.2">
      <c r="A22" s="41">
        <v>350</v>
      </c>
      <c r="B22" s="41">
        <f>Assumptions!$B$65+Assumptions!$B$66*A22+Assumptions!$B$67*A22^2</f>
        <v>131750</v>
      </c>
    </row>
    <row r="23" spans="1:7" x14ac:dyDescent="0.2">
      <c r="A23" s="41">
        <v>375</v>
      </c>
      <c r="B23" s="41">
        <f>Assumptions!$B$65+Assumptions!$B$66*A23+Assumptions!$B$67*A23^2</f>
        <v>138750</v>
      </c>
      <c r="D23" s="7" t="s">
        <v>268</v>
      </c>
    </row>
    <row r="24" spans="1:7" x14ac:dyDescent="0.2">
      <c r="A24" s="41">
        <v>400</v>
      </c>
      <c r="B24" s="41">
        <f>Assumptions!$B$65+Assumptions!$B$66*A24+Assumptions!$B$67*A24^2</f>
        <v>146000</v>
      </c>
      <c r="D24" s="7" t="s">
        <v>269</v>
      </c>
    </row>
    <row r="25" spans="1:7" x14ac:dyDescent="0.2">
      <c r="A25" s="41">
        <v>425</v>
      </c>
      <c r="B25" s="41">
        <f>Assumptions!$B$65+Assumptions!$B$66*A25+Assumptions!$B$67*A25^2</f>
        <v>153500</v>
      </c>
      <c r="D25" s="7" t="s">
        <v>270</v>
      </c>
    </row>
    <row r="26" spans="1:7" x14ac:dyDescent="0.2">
      <c r="A26" s="41">
        <v>450</v>
      </c>
      <c r="B26" s="41">
        <f>Assumptions!$B$65+Assumptions!$B$66*A26+Assumptions!$B$67*A26^2</f>
        <v>161250</v>
      </c>
    </row>
    <row r="27" spans="1:7" x14ac:dyDescent="0.2">
      <c r="A27" s="41">
        <v>475</v>
      </c>
      <c r="B27" s="41">
        <f>Assumptions!$B$65+Assumptions!$B$66*A27+Assumptions!$B$67*A27^2</f>
        <v>169250</v>
      </c>
    </row>
    <row r="28" spans="1:7" x14ac:dyDescent="0.2">
      <c r="A28" s="41">
        <v>500</v>
      </c>
      <c r="B28" s="41">
        <f>Assumptions!$B$65+Assumptions!$B$66*A28+Assumptions!$B$67*A28^2</f>
        <v>177500</v>
      </c>
    </row>
    <row r="29" spans="1:7" x14ac:dyDescent="0.2">
      <c r="A29" s="41">
        <v>525</v>
      </c>
      <c r="B29" s="41">
        <f>Assumptions!$B$65+Assumptions!$B$66*A29+Assumptions!$B$67*A29^2</f>
        <v>186000</v>
      </c>
    </row>
    <row r="30" spans="1:7" x14ac:dyDescent="0.2">
      <c r="A30" s="41">
        <v>550</v>
      </c>
      <c r="B30" s="41">
        <f>Assumptions!$B$65+Assumptions!$B$66*A30+Assumptions!$B$67*A30^2</f>
        <v>194750</v>
      </c>
    </row>
    <row r="31" spans="1:7" x14ac:dyDescent="0.2">
      <c r="A31" s="41">
        <v>575</v>
      </c>
      <c r="B31" s="41">
        <f>Assumptions!$B$65+Assumptions!$B$66*A31+Assumptions!$B$67*A31^2</f>
        <v>203750</v>
      </c>
    </row>
    <row r="32" spans="1:7" x14ac:dyDescent="0.2">
      <c r="A32" s="41">
        <v>600</v>
      </c>
      <c r="B32" s="41">
        <f>Assumptions!$B$65+Assumptions!$B$66*A32+Assumptions!$B$67*A32^2</f>
        <v>213000</v>
      </c>
    </row>
    <row r="33" spans="1:9" x14ac:dyDescent="0.2">
      <c r="A33" s="41">
        <v>625</v>
      </c>
      <c r="B33" s="41">
        <f>Assumptions!$B$65+Assumptions!$B$66*A33+Assumptions!$B$67*A33^2</f>
        <v>222500</v>
      </c>
    </row>
    <row r="34" spans="1:9" x14ac:dyDescent="0.2">
      <c r="A34" s="41">
        <v>650</v>
      </c>
      <c r="B34" s="41">
        <f>Assumptions!$B$65+Assumptions!$B$66*A34+Assumptions!$B$67*A34^2</f>
        <v>232250</v>
      </c>
    </row>
    <row r="35" spans="1:9" x14ac:dyDescent="0.2">
      <c r="A35" s="41">
        <v>675</v>
      </c>
      <c r="B35" s="41">
        <f>Assumptions!$B$65+Assumptions!$B$66*A35+Assumptions!$B$67*A35^2</f>
        <v>242250</v>
      </c>
    </row>
    <row r="36" spans="1:9" x14ac:dyDescent="0.2">
      <c r="A36" s="41">
        <v>700</v>
      </c>
      <c r="B36" s="41">
        <f>Assumptions!$B$65+Assumptions!$B$66*A36+Assumptions!$B$67*A36^2</f>
        <v>252500</v>
      </c>
    </row>
    <row r="37" spans="1:9" x14ac:dyDescent="0.2">
      <c r="A37" s="41">
        <v>725</v>
      </c>
      <c r="B37" s="41">
        <f>Assumptions!$B$65+Assumptions!$B$66*A37+Assumptions!$B$67*A37^2</f>
        <v>263000</v>
      </c>
      <c r="I37" s="3" t="s">
        <v>271</v>
      </c>
    </row>
    <row r="38" spans="1:9" x14ac:dyDescent="0.2">
      <c r="A38" s="41">
        <v>750</v>
      </c>
      <c r="B38" s="41">
        <f>Assumptions!$B$65+Assumptions!$B$66*A38+Assumptions!$B$67*A38^2</f>
        <v>273750</v>
      </c>
      <c r="I38" s="27" t="s">
        <v>272</v>
      </c>
    </row>
    <row r="39" spans="1:9" x14ac:dyDescent="0.2">
      <c r="A39" s="41">
        <v>775</v>
      </c>
      <c r="B39" s="41">
        <f>Assumptions!$B$65+Assumptions!$B$66*A39+Assumptions!$B$67*A39^2</f>
        <v>284750</v>
      </c>
      <c r="I39" s="27" t="s">
        <v>273</v>
      </c>
    </row>
    <row r="40" spans="1:9" x14ac:dyDescent="0.2">
      <c r="A40" s="41">
        <v>800</v>
      </c>
      <c r="B40" s="41">
        <f>Assumptions!$B$65+Assumptions!$B$66*A40+Assumptions!$B$67*A40^2</f>
        <v>296000</v>
      </c>
      <c r="I40" s="27" t="s">
        <v>274</v>
      </c>
    </row>
    <row r="41" spans="1:9" x14ac:dyDescent="0.2">
      <c r="A41" s="41">
        <v>825</v>
      </c>
      <c r="B41" s="41">
        <f>Assumptions!$B$65+Assumptions!$B$66*A41+Assumptions!$B$67*A41^2</f>
        <v>307500</v>
      </c>
      <c r="I41" s="27" t="s">
        <v>275</v>
      </c>
    </row>
    <row r="42" spans="1:9" x14ac:dyDescent="0.2">
      <c r="A42" s="41">
        <v>850</v>
      </c>
      <c r="B42" s="41">
        <f>Assumptions!$B$65+Assumptions!$B$66*A42+Assumptions!$B$67*A42^2</f>
        <v>319250</v>
      </c>
    </row>
    <row r="43" spans="1:9" x14ac:dyDescent="0.2">
      <c r="A43" s="41">
        <v>875</v>
      </c>
      <c r="B43" s="41">
        <f>Assumptions!$B$65+Assumptions!$B$66*A43+Assumptions!$B$67*A43^2</f>
        <v>331250</v>
      </c>
    </row>
    <row r="44" spans="1:9" x14ac:dyDescent="0.2">
      <c r="A44" s="41">
        <v>900</v>
      </c>
      <c r="B44" s="41">
        <f>Assumptions!$B$65+Assumptions!$B$66*A44+Assumptions!$B$67*A44^2</f>
        <v>343500</v>
      </c>
    </row>
    <row r="45" spans="1:9" x14ac:dyDescent="0.2">
      <c r="A45" s="41">
        <v>925</v>
      </c>
      <c r="B45" s="41">
        <f>Assumptions!$B$65+Assumptions!$B$66*A45+Assumptions!$B$67*A45^2</f>
        <v>356000</v>
      </c>
    </row>
    <row r="46" spans="1:9" x14ac:dyDescent="0.2">
      <c r="A46" s="41">
        <v>950</v>
      </c>
      <c r="B46" s="41">
        <f>Assumptions!$B$65+Assumptions!$B$66*A46+Assumptions!$B$67*A46^2</f>
        <v>368750</v>
      </c>
    </row>
    <row r="47" spans="1:9" x14ac:dyDescent="0.2">
      <c r="A47" s="41">
        <v>975</v>
      </c>
      <c r="B47" s="41">
        <f>Assumptions!$B$65+Assumptions!$B$66*A47+Assumptions!$B$67*A47^2</f>
        <v>381750</v>
      </c>
    </row>
    <row r="48" spans="1:9" x14ac:dyDescent="0.2">
      <c r="A48" s="41">
        <v>1000</v>
      </c>
      <c r="B48" s="41">
        <f>Assumptions!$B$65+Assumptions!$B$66*A48+Assumptions!$B$67*A48^2</f>
        <v>395000</v>
      </c>
    </row>
    <row r="49" spans="1:2" x14ac:dyDescent="0.2">
      <c r="A49" s="41">
        <v>1025</v>
      </c>
      <c r="B49" s="41">
        <f>Assumptions!$B$65+Assumptions!$B$66*A49+Assumptions!$B$67*A49^2</f>
        <v>408500</v>
      </c>
    </row>
    <row r="50" spans="1:2" x14ac:dyDescent="0.2">
      <c r="A50" s="41">
        <v>1050</v>
      </c>
      <c r="B50" s="41">
        <f>Assumptions!$B$65+Assumptions!$B$66*A50+Assumptions!$B$67*A50^2</f>
        <v>422250</v>
      </c>
    </row>
    <row r="51" spans="1:2" x14ac:dyDescent="0.2">
      <c r="A51" s="41">
        <v>1075</v>
      </c>
      <c r="B51" s="41">
        <f>Assumptions!$B$65+Assumptions!$B$66*A51+Assumptions!$B$67*A51^2</f>
        <v>436250</v>
      </c>
    </row>
    <row r="52" spans="1:2" x14ac:dyDescent="0.2">
      <c r="A52" s="41">
        <v>1100</v>
      </c>
      <c r="B52" s="41">
        <f>Assumptions!$B$65+Assumptions!$B$66*A52+Assumptions!$B$67*A52^2</f>
        <v>450500</v>
      </c>
    </row>
    <row r="53" spans="1:2" x14ac:dyDescent="0.2">
      <c r="A53" s="41">
        <v>1125</v>
      </c>
      <c r="B53" s="41">
        <f>Assumptions!$B$65+Assumptions!$B$66*A53+Assumptions!$B$67*A53^2</f>
        <v>465000</v>
      </c>
    </row>
    <row r="54" spans="1:2" x14ac:dyDescent="0.2">
      <c r="A54" s="41">
        <v>1150</v>
      </c>
      <c r="B54" s="41">
        <f>Assumptions!$B$65+Assumptions!$B$66*A54+Assumptions!$B$67*A54^2</f>
        <v>479750</v>
      </c>
    </row>
    <row r="55" spans="1:2" x14ac:dyDescent="0.2">
      <c r="A55" s="41">
        <v>1175</v>
      </c>
      <c r="B55" s="41">
        <f>Assumptions!$B$65+Assumptions!$B$66*A55+Assumptions!$B$67*A55^2</f>
        <v>494750</v>
      </c>
    </row>
    <row r="56" spans="1:2" x14ac:dyDescent="0.2">
      <c r="A56" s="41">
        <v>1200</v>
      </c>
      <c r="B56" s="41">
        <f>Assumptions!$B$65+Assumptions!$B$66*A56+Assumptions!$B$67*A56^2</f>
        <v>510000</v>
      </c>
    </row>
  </sheetData>
  <pageMargins left="0.75" right="0.75" top="1" bottom="1" header="0.511811023622047" footer="0.511811023622047"/>
  <pageSetup paperSize="9" orientation="portrait" horizontalDpi="300" verticalDpi="300"/>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0"/>
  <sheetViews>
    <sheetView showGridLines="0" zoomScaleNormal="100" workbookViewId="0"/>
  </sheetViews>
  <sheetFormatPr baseColWidth="10" defaultColWidth="8.6640625" defaultRowHeight="15" x14ac:dyDescent="0.2"/>
  <cols>
    <col min="1" max="1" width="54" customWidth="1"/>
    <col min="2" max="2" width="16" customWidth="1"/>
    <col min="3" max="3" width="62" customWidth="1"/>
    <col min="4" max="4" width="44" customWidth="1"/>
  </cols>
  <sheetData>
    <row r="1" spans="1:4" ht="18" x14ac:dyDescent="0.2">
      <c r="A1" s="1" t="s">
        <v>276</v>
      </c>
    </row>
    <row r="2" spans="1:4" x14ac:dyDescent="0.2">
      <c r="A2" s="2" t="s">
        <v>277</v>
      </c>
    </row>
    <row r="4" spans="1:4" x14ac:dyDescent="0.2">
      <c r="A4" s="45" t="s">
        <v>29</v>
      </c>
      <c r="B4" s="45" t="s">
        <v>278</v>
      </c>
      <c r="C4" s="45" t="s">
        <v>279</v>
      </c>
      <c r="D4" s="45" t="s">
        <v>280</v>
      </c>
    </row>
    <row r="5" spans="1:4" ht="61.5" customHeight="1" x14ac:dyDescent="0.2">
      <c r="A5" s="46" t="s">
        <v>281</v>
      </c>
      <c r="B5" s="47" t="s">
        <v>282</v>
      </c>
      <c r="C5" s="47" t="s">
        <v>283</v>
      </c>
      <c r="D5" s="48" t="s">
        <v>284</v>
      </c>
    </row>
    <row r="6" spans="1:4" ht="61.5" customHeight="1" x14ac:dyDescent="0.2">
      <c r="A6" s="46" t="s">
        <v>285</v>
      </c>
      <c r="B6" s="47" t="s">
        <v>286</v>
      </c>
      <c r="C6" s="47" t="s">
        <v>287</v>
      </c>
      <c r="D6" s="48" t="s">
        <v>288</v>
      </c>
    </row>
    <row r="7" spans="1:4" ht="61.5" customHeight="1" x14ac:dyDescent="0.2">
      <c r="A7" s="46" t="s">
        <v>289</v>
      </c>
      <c r="B7" s="47" t="s">
        <v>282</v>
      </c>
      <c r="C7" s="47" t="s">
        <v>290</v>
      </c>
      <c r="D7" s="48" t="s">
        <v>291</v>
      </c>
    </row>
    <row r="8" spans="1:4" ht="61.5" customHeight="1" x14ac:dyDescent="0.2">
      <c r="A8" s="46" t="s">
        <v>292</v>
      </c>
      <c r="B8" s="47" t="s">
        <v>293</v>
      </c>
      <c r="C8" s="47" t="s">
        <v>294</v>
      </c>
      <c r="D8" s="48" t="s">
        <v>295</v>
      </c>
    </row>
    <row r="9" spans="1:4" ht="61.5" customHeight="1" x14ac:dyDescent="0.2">
      <c r="A9" s="46" t="s">
        <v>296</v>
      </c>
      <c r="B9" s="47" t="s">
        <v>297</v>
      </c>
      <c r="C9" s="47" t="s">
        <v>298</v>
      </c>
      <c r="D9" s="48" t="s">
        <v>299</v>
      </c>
    </row>
    <row r="10" spans="1:4" ht="61.5" customHeight="1" x14ac:dyDescent="0.2">
      <c r="A10" s="46" t="s">
        <v>300</v>
      </c>
      <c r="B10" s="47" t="s">
        <v>297</v>
      </c>
      <c r="C10" s="47" t="s">
        <v>301</v>
      </c>
      <c r="D10" s="48" t="s">
        <v>302</v>
      </c>
    </row>
    <row r="11" spans="1:4" ht="61.5" customHeight="1" x14ac:dyDescent="0.2">
      <c r="A11" s="46" t="s">
        <v>303</v>
      </c>
      <c r="B11" s="47" t="s">
        <v>304</v>
      </c>
      <c r="C11" s="47" t="s">
        <v>305</v>
      </c>
      <c r="D11" s="48" t="s">
        <v>306</v>
      </c>
    </row>
    <row r="12" spans="1:4" ht="61.5" customHeight="1" x14ac:dyDescent="0.2">
      <c r="A12" s="46" t="s">
        <v>307</v>
      </c>
      <c r="B12" s="47" t="s">
        <v>304</v>
      </c>
      <c r="C12" s="47" t="s">
        <v>308</v>
      </c>
      <c r="D12" s="48" t="s">
        <v>309</v>
      </c>
    </row>
    <row r="13" spans="1:4" ht="61.5" customHeight="1" x14ac:dyDescent="0.2">
      <c r="A13" s="46" t="s">
        <v>310</v>
      </c>
      <c r="B13" s="47" t="s">
        <v>311</v>
      </c>
      <c r="C13" s="47" t="s">
        <v>312</v>
      </c>
      <c r="D13" s="48" t="s">
        <v>313</v>
      </c>
    </row>
    <row r="15" spans="1:4" x14ac:dyDescent="0.2">
      <c r="A15" s="3" t="s">
        <v>314</v>
      </c>
    </row>
    <row r="16" spans="1:4" x14ac:dyDescent="0.2">
      <c r="A16" s="27" t="s">
        <v>315</v>
      </c>
    </row>
    <row r="17" spans="1:1" x14ac:dyDescent="0.2">
      <c r="A17" s="27"/>
    </row>
    <row r="18" spans="1:1" x14ac:dyDescent="0.2">
      <c r="A18" s="27" t="s">
        <v>316</v>
      </c>
    </row>
    <row r="19" spans="1:1" x14ac:dyDescent="0.2">
      <c r="A19" s="27" t="s">
        <v>317</v>
      </c>
    </row>
    <row r="20" spans="1:1" x14ac:dyDescent="0.2">
      <c r="A20" s="27" t="s">
        <v>318</v>
      </c>
    </row>
    <row r="21" spans="1:1" x14ac:dyDescent="0.2">
      <c r="A21" s="27" t="s">
        <v>319</v>
      </c>
    </row>
    <row r="22" spans="1:1" x14ac:dyDescent="0.2">
      <c r="A22" s="27" t="s">
        <v>320</v>
      </c>
    </row>
    <row r="23" spans="1:1" x14ac:dyDescent="0.2">
      <c r="A23" s="27"/>
    </row>
    <row r="24" spans="1:1" x14ac:dyDescent="0.2">
      <c r="A24" s="27" t="s">
        <v>321</v>
      </c>
    </row>
    <row r="25" spans="1:1" x14ac:dyDescent="0.2">
      <c r="A25" s="27" t="s">
        <v>322</v>
      </c>
    </row>
    <row r="28" spans="1:1" x14ac:dyDescent="0.2">
      <c r="A28" s="3" t="s">
        <v>323</v>
      </c>
    </row>
    <row r="29" spans="1:1" x14ac:dyDescent="0.2">
      <c r="A29" s="27" t="s">
        <v>324</v>
      </c>
    </row>
    <row r="30" spans="1:1" x14ac:dyDescent="0.2">
      <c r="A30" s="49" t="s">
        <v>325</v>
      </c>
    </row>
  </sheetData>
  <hyperlinks>
    <hyperlink ref="D5" r:id="rId1" xr:uid="{00000000-0004-0000-0500-000000000000}"/>
    <hyperlink ref="D6" r:id="rId2" xr:uid="{00000000-0004-0000-0500-000001000000}"/>
    <hyperlink ref="D7" r:id="rId3" xr:uid="{00000000-0004-0000-0500-000002000000}"/>
    <hyperlink ref="D8" r:id="rId4" xr:uid="{00000000-0004-0000-0500-000003000000}"/>
    <hyperlink ref="D9" r:id="rId5" xr:uid="{00000000-0004-0000-0500-000004000000}"/>
    <hyperlink ref="D10" r:id="rId6" xr:uid="{00000000-0004-0000-0500-000005000000}"/>
    <hyperlink ref="D11" r:id="rId7" xr:uid="{00000000-0004-0000-0500-000006000000}"/>
    <hyperlink ref="D12" r:id="rId8" xr:uid="{00000000-0004-0000-0500-000007000000}"/>
    <hyperlink ref="D13" r:id="rId9" xr:uid="{00000000-0004-0000-0500-000008000000}"/>
    <hyperlink ref="A30" r:id="rId10" xr:uid="{00000000-0004-0000-0500-000009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Assumptions</vt:lpstr>
      <vt:lpstr>Cost Table</vt:lpstr>
      <vt:lpstr>Per-Unit Costs</vt:lpstr>
      <vt:lpstr>Current Prices</vt:lpstr>
      <vt:lpstr>TC Curve</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Wasserman, Melanie</cp:lastModifiedBy>
  <cp:revision>1</cp:revision>
  <dcterms:created xsi:type="dcterms:W3CDTF">2026-08-19T23:52:27Z</dcterms:created>
  <dcterms:modified xsi:type="dcterms:W3CDTF">2026-08-24T23:55:14Z</dcterms:modified>
  <dc:language>en-US</dc:language>
</cp:coreProperties>
</file>